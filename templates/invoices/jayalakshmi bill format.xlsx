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6"/>
  </bookViews>
  <sheets>
    <sheet name="TIMESCAN" sheetId="1" r:id="rId1"/>
    <sheet name="MSK PNR" sheetId="2" r:id="rId2"/>
    <sheet name="MR LOGISTICS" sheetId="3" r:id="rId3"/>
    <sheet name="SKAS" sheetId="4" r:id="rId4"/>
    <sheet name="MILKY WAY" sheetId="5" r:id="rId5"/>
    <sheet name="AVB" sheetId="6" r:id="rId6"/>
    <sheet name="SAFE" sheetId="7" r:id="rId7"/>
  </sheets>
  <calcPr calcId="124519"/>
</workbook>
</file>

<file path=xl/calcChain.xml><?xml version="1.0" encoding="utf-8"?>
<calcChain xmlns="http://schemas.openxmlformats.org/spreadsheetml/2006/main">
  <c r="J19" i="7"/>
  <c r="J32" s="1"/>
  <c r="J20" i="6"/>
  <c r="J35" s="1"/>
  <c r="J33" i="5"/>
  <c r="J18" i="4"/>
  <c r="J35" s="1"/>
  <c r="J32" i="3"/>
  <c r="H35" i="2"/>
  <c r="H30"/>
  <c r="H29"/>
  <c r="H26"/>
  <c r="H25"/>
  <c r="H22"/>
  <c r="H21"/>
  <c r="H38" s="1"/>
  <c r="F36" i="1"/>
</calcChain>
</file>

<file path=xl/sharedStrings.xml><?xml version="1.0" encoding="utf-8"?>
<sst xmlns="http://schemas.openxmlformats.org/spreadsheetml/2006/main" count="305" uniqueCount="155">
  <si>
    <t>GST   No: 33AOPPM9326Q2Z1</t>
  </si>
  <si>
    <t xml:space="preserve"> Cell: 9841819012</t>
  </si>
  <si>
    <t xml:space="preserve"> Cell : 8939724222</t>
  </si>
  <si>
    <t>JAYALAKSHMI ROADLINES</t>
  </si>
  <si>
    <t xml:space="preserve">                   FLEET OWNERS &amp; CONTAINER MOVERS</t>
  </si>
  <si>
    <t xml:space="preserve">                             No.12/18, Thiruvalluvar Street, IInd Floor, Balakrishna Nagar,</t>
  </si>
  <si>
    <t xml:space="preserve">                      Thiruvottiyur,  Chennai - 600 019.</t>
  </si>
  <si>
    <t xml:space="preserve">                           Email : jayalakshmiroadlines.chennai@gmail.com</t>
  </si>
  <si>
    <t>To:</t>
  </si>
  <si>
    <t>TIMESCAN LOGISTICS INDIA LTD.</t>
  </si>
  <si>
    <t xml:space="preserve"> </t>
  </si>
  <si>
    <t>RAJAH ANNAMALAI BUILDING, ANNEXE"3RD FLOOR"</t>
  </si>
  <si>
    <r>
      <rPr>
        <sz val="11"/>
        <color rgb="FF000000"/>
        <rFont val="Verdana"/>
        <family val="2"/>
      </rPr>
      <t>NO:18/3 RUKMANI LAKSHMIPATHI ROAD, (</t>
    </r>
    <r>
      <rPr>
        <sz val="10"/>
        <color rgb="FF000000"/>
        <rFont val="Verdana"/>
        <family val="2"/>
      </rPr>
      <t>MARSHALLS ROAD</t>
    </r>
    <r>
      <rPr>
        <sz val="11"/>
        <color rgb="FF000000"/>
        <rFont val="Verdana"/>
        <family val="2"/>
      </rPr>
      <t>)</t>
    </r>
  </si>
  <si>
    <t>BILL.NO: 43</t>
  </si>
  <si>
    <t>EGMORE, CHENNAI-600008.</t>
  </si>
  <si>
    <t>GST.NO: 33AACCT5483F1ZD</t>
  </si>
  <si>
    <t>CELL: 7358502094</t>
  </si>
  <si>
    <t>S.No</t>
  </si>
  <si>
    <t>Particulars</t>
  </si>
  <si>
    <t>RENT BILL</t>
  </si>
  <si>
    <t>APRIL MONTH RENT AMOUNT(2025)</t>
  </si>
  <si>
    <t xml:space="preserve">OUTPUT CGST 9% </t>
  </si>
  <si>
    <t>RS.9000</t>
  </si>
  <si>
    <t>OUTPUT SGST 9%</t>
  </si>
  <si>
    <r>
      <rPr>
        <b/>
        <sz val="10"/>
        <color theme="1"/>
        <rFont val="Verdana"/>
        <family val="2"/>
      </rPr>
      <t>Total</t>
    </r>
    <r>
      <rPr>
        <sz val="10"/>
        <color theme="1"/>
        <rFont val="Verdana"/>
        <family val="2"/>
      </rPr>
      <t xml:space="preserve"> : Rupee One Lakh Eighteen Thousand Only</t>
    </r>
  </si>
  <si>
    <t>Bank Details</t>
  </si>
  <si>
    <t>AXIS BANK</t>
  </si>
  <si>
    <t>Jayalakshmi Roadlines</t>
  </si>
  <si>
    <t xml:space="preserve">   For JAYALAKSHMI ROAD LINES</t>
  </si>
  <si>
    <t>A.C.NO.912020026510622</t>
  </si>
  <si>
    <t>Branch: Thiruvottiyur</t>
  </si>
  <si>
    <t xml:space="preserve"> IFSC CODE: UTIB0001619</t>
  </si>
  <si>
    <t xml:space="preserve"> Authorized Signatory</t>
  </si>
  <si>
    <t xml:space="preserve">                                                   Cell: 9841819012      </t>
  </si>
  <si>
    <t>Cell:9841819012</t>
  </si>
  <si>
    <t>Cell:8939724222</t>
  </si>
  <si>
    <t>FLEET OWNERS &amp; CONTAINER MOVERS</t>
  </si>
  <si>
    <t>No.12/18, Thiruvalluvar Street, IInd Floor, Balakrishna Nagar,</t>
  </si>
  <si>
    <t>Thiruvottiyur,  Chennai - 600 019.</t>
  </si>
  <si>
    <t>Email : jayalakshmiroadlines.chennai@gmail.com</t>
  </si>
  <si>
    <t>SAC 996511</t>
  </si>
  <si>
    <t>APM Terminals India Pvt. Ltd</t>
  </si>
  <si>
    <t>DATE</t>
  </si>
  <si>
    <t xml:space="preserve">NO: 78, Anuppampatu Village, </t>
  </si>
  <si>
    <t>BILL.NO</t>
  </si>
  <si>
    <t xml:space="preserve">Minjur Ponneri High Road, Ponneri Taluk, </t>
  </si>
  <si>
    <t>Pan</t>
  </si>
  <si>
    <t>AOPPM9326Q</t>
  </si>
  <si>
    <t>Thiruvallur District, Chennai - 601 203</t>
  </si>
  <si>
    <t>MOVEMENT FROM</t>
  </si>
  <si>
    <t>16 MAR 2025 -  31  MAR 2025</t>
  </si>
  <si>
    <t>GST.NO: 33AAACM8741P1Z2</t>
  </si>
  <si>
    <r>
      <rPr>
        <sz val="10"/>
        <color rgb="FF222222"/>
        <rFont val="Verdana"/>
        <family val="2"/>
      </rPr>
      <t xml:space="preserve">    “</t>
    </r>
    <r>
      <rPr>
        <b/>
        <sz val="10"/>
        <color rgb="FF222222"/>
        <rFont val="Verdana"/>
        <family val="2"/>
      </rPr>
      <t>GST should be paid on reverse charges basis</t>
    </r>
    <r>
      <rPr>
        <sz val="10"/>
        <color rgb="FF222222"/>
        <rFont val="Verdana"/>
        <family val="2"/>
      </rPr>
      <t>”.GST.NO: 33AOPPM9326Q2Z1</t>
    </r>
  </si>
  <si>
    <t>LOAD(nos)</t>
  </si>
  <si>
    <t>RATE(Rs.)</t>
  </si>
  <si>
    <t>AMOUNT(Rs.)</t>
  </si>
  <si>
    <t>PNR movement from CITPL PORT TO APMT</t>
  </si>
  <si>
    <t>FOR 20 FT CONTAINER</t>
  </si>
  <si>
    <t>FOR 40 FT CONTAINER</t>
  </si>
  <si>
    <t>PNR movement from KICT PORT to APMT</t>
  </si>
  <si>
    <t>PNR movement from ENNORE PORT to APMT</t>
  </si>
  <si>
    <t>SCANNING  movement from ENNORE /KICT to APMT</t>
  </si>
  <si>
    <r>
      <rPr>
        <b/>
        <sz val="10"/>
        <color theme="1"/>
        <rFont val="Verdana"/>
        <family val="2"/>
      </rPr>
      <t>Total</t>
    </r>
    <r>
      <rPr>
        <sz val="10"/>
        <color theme="1"/>
        <rFont val="Verdana"/>
        <family val="2"/>
      </rPr>
      <t xml:space="preserve"> : Rupees Twenty Three  Thousand  Three Hundred  Eighty Only.</t>
    </r>
  </si>
  <si>
    <t>For JAYALAKSHMI ROADLINES</t>
  </si>
  <si>
    <t xml:space="preserve">                                  Cell: 9841819012</t>
  </si>
  <si>
    <t xml:space="preserve">                                 Cell : 8939724222</t>
  </si>
  <si>
    <t>M. R LOGISTICS</t>
  </si>
  <si>
    <t>No:18 SRI SABARI COMPLEX RAJIV GANDHI STREET ,</t>
  </si>
  <si>
    <t>MEENAMBAKKAM,  CHENNAI -600027.</t>
  </si>
  <si>
    <t>BILL.NO: 3</t>
  </si>
  <si>
    <t>GST NO:33AUMPR8374C1ZB</t>
  </si>
  <si>
    <t>" Bill of Supply"</t>
  </si>
  <si>
    <t>IMPORT MOVEMENT</t>
  </si>
  <si>
    <t>Qty</t>
  </si>
  <si>
    <t>Amount</t>
  </si>
  <si>
    <t>Total</t>
  </si>
  <si>
    <t xml:space="preserve">Being the Transportation Charges </t>
  </si>
  <si>
    <t>20'</t>
  </si>
  <si>
    <t>40'</t>
  </si>
  <si>
    <t>Rs</t>
  </si>
  <si>
    <r>
      <rPr>
        <b/>
        <sz val="11"/>
        <rFont val="Calibri"/>
        <family val="2"/>
        <scheme val="minor"/>
      </rPr>
      <t>FROM</t>
    </r>
    <r>
      <rPr>
        <sz val="11"/>
        <rFont val="Calibri"/>
        <family val="2"/>
        <scheme val="minor"/>
      </rPr>
      <t>: CONTINENTAL  CFS  (On. 01.04.25)</t>
    </r>
  </si>
  <si>
    <r>
      <rPr>
        <b/>
        <sz val="11"/>
        <rFont val="Calibri"/>
        <family val="2"/>
        <scheme val="minor"/>
      </rPr>
      <t>TO</t>
    </r>
    <r>
      <rPr>
        <sz val="11"/>
        <rFont val="Calibri"/>
        <family val="2"/>
        <scheme val="minor"/>
      </rPr>
      <t xml:space="preserve">: </t>
    </r>
    <r>
      <rPr>
        <b/>
        <sz val="11"/>
        <rFont val="Calibri"/>
        <family val="2"/>
        <scheme val="minor"/>
      </rPr>
      <t>SHACHIHATA INDIA PVT LTD</t>
    </r>
    <r>
      <rPr>
        <sz val="11"/>
        <rFont val="Calibri"/>
        <family val="2"/>
        <scheme val="minor"/>
      </rPr>
      <t xml:space="preserve"> -Thiruvallur   (On.02.04.25)</t>
    </r>
  </si>
  <si>
    <t>EMPTY UNLOADED AT : POWER ENGINEERING MT PLOT (02.04.25)</t>
  </si>
  <si>
    <t>1X20FT</t>
  </si>
  <si>
    <t>VEH.NO</t>
  </si>
  <si>
    <t>CON.NO</t>
  </si>
  <si>
    <t>TN05AK4833</t>
  </si>
  <si>
    <t>TIIU2583262</t>
  </si>
  <si>
    <r>
      <rPr>
        <b/>
        <sz val="11"/>
        <color theme="1"/>
        <rFont val="Verdana"/>
        <family val="2"/>
      </rPr>
      <t>BE.NO : 9095104</t>
    </r>
    <r>
      <rPr>
        <sz val="11"/>
        <color theme="1"/>
        <rFont val="Verdana"/>
        <family val="2"/>
      </rPr>
      <t xml:space="preserve"> /25.03.25</t>
    </r>
  </si>
  <si>
    <r>
      <rPr>
        <b/>
        <sz val="10"/>
        <color theme="1"/>
        <rFont val="Verdana"/>
        <family val="2"/>
      </rPr>
      <t>Total</t>
    </r>
    <r>
      <rPr>
        <sz val="10"/>
        <color theme="1"/>
        <rFont val="Verdana"/>
        <family val="2"/>
      </rPr>
      <t xml:space="preserve"> : Rupee Eleven  Thousand Only</t>
    </r>
  </si>
  <si>
    <t>SAC 9965</t>
  </si>
  <si>
    <t>M/S.SKAS SHIPPING PVT.LTD.,</t>
  </si>
  <si>
    <t>2, IInd Floor, GOPAL CHETTY STREET, CHENNAI-600 001.</t>
  </si>
  <si>
    <t>BILL.NO: 4</t>
  </si>
  <si>
    <t>GST.NO.33ABFCS6154E1ZH</t>
  </si>
  <si>
    <t>IMPORT</t>
  </si>
  <si>
    <r>
      <rPr>
        <b/>
        <sz val="11"/>
        <rFont val="Calibri"/>
        <family val="2"/>
        <scheme val="minor"/>
      </rPr>
      <t>FROM</t>
    </r>
    <r>
      <rPr>
        <sz val="11"/>
        <rFont val="Calibri"/>
        <family val="2"/>
        <scheme val="minor"/>
      </rPr>
      <t>: CITPL   PORT (On: 02.04.25 )</t>
    </r>
  </si>
  <si>
    <r>
      <rPr>
        <b/>
        <sz val="11"/>
        <rFont val="Calibri"/>
        <family val="2"/>
        <scheme val="minor"/>
      </rPr>
      <t>TO</t>
    </r>
    <r>
      <rPr>
        <sz val="11"/>
        <rFont val="Calibri"/>
        <family val="2"/>
        <scheme val="minor"/>
      </rPr>
      <t>:  THIRURANI W.H  (02.04.25 )</t>
    </r>
  </si>
  <si>
    <r>
      <rPr>
        <b/>
        <sz val="11"/>
        <rFont val="Calibri"/>
        <family val="2"/>
        <scheme val="minor"/>
      </rPr>
      <t>EMPTY UNLOADED</t>
    </r>
    <r>
      <rPr>
        <sz val="11"/>
        <rFont val="Calibri"/>
        <family val="2"/>
        <scheme val="minor"/>
      </rPr>
      <t>:  PROGRESSIVE   MT PLOT (02.04.25 )</t>
    </r>
  </si>
  <si>
    <t>A/C. :  ESAB INDIA LTD</t>
  </si>
  <si>
    <t>1X20 FT</t>
  </si>
  <si>
    <t>TN03U0526</t>
  </si>
  <si>
    <t>CAIU6973815</t>
  </si>
  <si>
    <r>
      <rPr>
        <b/>
        <sz val="11"/>
        <color theme="1"/>
        <rFont val="Verdana"/>
        <family val="2"/>
      </rPr>
      <t xml:space="preserve">BE NO </t>
    </r>
    <r>
      <rPr>
        <sz val="11"/>
        <color theme="1"/>
        <rFont val="Verdana"/>
        <family val="2"/>
      </rPr>
      <t>: 9150561 &amp; 28.03.25</t>
    </r>
  </si>
  <si>
    <r>
      <rPr>
        <b/>
        <sz val="10"/>
        <color theme="1"/>
        <rFont val="Verdana"/>
        <family val="2"/>
      </rPr>
      <t>Total</t>
    </r>
    <r>
      <rPr>
        <sz val="10"/>
        <color theme="1"/>
        <rFont val="Verdana"/>
        <family val="2"/>
      </rPr>
      <t xml:space="preserve"> : Rupee Eight  Thousand Five Hundred  Only</t>
    </r>
  </si>
  <si>
    <t xml:space="preserve">                                                  FLEET OWNERS &amp; CONTAINER MOVERS</t>
  </si>
  <si>
    <t xml:space="preserve">                                                                      No.12/18, Thiruvalluvar Street, IInd Floor, Balakrishna Nagar,</t>
  </si>
  <si>
    <t xml:space="preserve">                                                   Thiruvottiyur,  Chennai - 600 019.</t>
  </si>
  <si>
    <t xml:space="preserve">                                                           Email : jayalakshmiroadlines.chennai@gmail.com</t>
  </si>
  <si>
    <t>MILKYWAY GLOBAL LOGISTICS INDIA PVT LTD</t>
  </si>
  <si>
    <t>Date</t>
  </si>
  <si>
    <t>NO:6/48A, DURAIRAJ STREET,</t>
  </si>
  <si>
    <t>Bill no</t>
  </si>
  <si>
    <t>PALAVANTHANGAL CHENNAI-600114</t>
  </si>
  <si>
    <t>GST:33AANCM2372F1ZJ</t>
  </si>
  <si>
    <t>GST NO</t>
  </si>
  <si>
    <t>33AOPPM9326Q2Z1</t>
  </si>
  <si>
    <t>Cell No: 9789009856</t>
  </si>
  <si>
    <t>"GST is Payable under Reverse Charge Mechanism"</t>
  </si>
  <si>
    <t>FULL LOAD</t>
  </si>
  <si>
    <r>
      <rPr>
        <b/>
        <sz val="11"/>
        <rFont val="Calibri"/>
        <family val="2"/>
        <scheme val="minor"/>
      </rPr>
      <t>EMPTY PICKUP FROM</t>
    </r>
    <r>
      <rPr>
        <sz val="11"/>
        <rFont val="Calibri"/>
        <family val="2"/>
        <scheme val="minor"/>
      </rPr>
      <t>: ECCT MT PLOT (06.04.25)</t>
    </r>
  </si>
  <si>
    <r>
      <rPr>
        <b/>
        <sz val="11"/>
        <rFont val="Calibri"/>
        <family val="2"/>
        <scheme val="minor"/>
      </rPr>
      <t xml:space="preserve">STUFFING : </t>
    </r>
    <r>
      <rPr>
        <sz val="11"/>
        <rFont val="Calibri"/>
        <family val="2"/>
        <scheme val="minor"/>
      </rPr>
      <t>CUDDALORE - PIONEER JELLICE INDIA PVT LTD (07.04.2025 )</t>
    </r>
  </si>
  <si>
    <r>
      <rPr>
        <b/>
        <sz val="10"/>
        <color theme="1"/>
        <rFont val="Verdana"/>
        <family val="2"/>
      </rPr>
      <t xml:space="preserve">UNLOADED  AT </t>
    </r>
    <r>
      <rPr>
        <sz val="10"/>
        <color theme="1"/>
        <rFont val="Verdana"/>
        <family val="2"/>
      </rPr>
      <t>: KATTUPALLI PORT (08.04.2025)</t>
    </r>
  </si>
  <si>
    <r>
      <rPr>
        <b/>
        <sz val="10"/>
        <color theme="1"/>
        <rFont val="Verdana"/>
        <family val="2"/>
      </rPr>
      <t>LESS</t>
    </r>
    <r>
      <rPr>
        <sz val="10"/>
        <color theme="1"/>
        <rFont val="Verdana"/>
        <family val="2"/>
      </rPr>
      <t xml:space="preserve">: ADVANCE (1X15000) </t>
    </r>
  </si>
  <si>
    <t>1X40 FT</t>
  </si>
  <si>
    <r>
      <rPr>
        <b/>
        <sz val="10"/>
        <color theme="1"/>
        <rFont val="Verdana"/>
        <family val="2"/>
      </rPr>
      <t>VEH NO</t>
    </r>
    <r>
      <rPr>
        <sz val="10"/>
        <color theme="1"/>
        <rFont val="Verdana"/>
        <family val="2"/>
      </rPr>
      <t>:  TN03AK3891 \ CON: TRHU7551956</t>
    </r>
  </si>
  <si>
    <r>
      <rPr>
        <b/>
        <sz val="10"/>
        <color theme="1"/>
        <rFont val="Verdana"/>
        <family val="2"/>
      </rPr>
      <t>Total</t>
    </r>
    <r>
      <rPr>
        <sz val="10"/>
        <color theme="1"/>
        <rFont val="Verdana"/>
        <family val="2"/>
      </rPr>
      <t xml:space="preserve"> : Rupee Thirteen  Thousand Only</t>
    </r>
  </si>
  <si>
    <t xml:space="preserve">   For JAYALAKSHMI ROADLINES</t>
  </si>
  <si>
    <t>AVB CARGO SERVICES</t>
  </si>
  <si>
    <t>No:17, KAMARAJAR STREET ( Govt School Opp)</t>
  </si>
  <si>
    <t>BILL.NO: 17</t>
  </si>
  <si>
    <t>MEENAMBAKKAM,</t>
  </si>
  <si>
    <t xml:space="preserve"> CHENNAI -600027.</t>
  </si>
  <si>
    <t>GST NO:33ARRPB2281L1ZN</t>
  </si>
  <si>
    <t xml:space="preserve">EXPORT MOVEMENT </t>
  </si>
  <si>
    <r>
      <rPr>
        <b/>
        <sz val="11"/>
        <rFont val="Calibri"/>
        <family val="2"/>
        <scheme val="minor"/>
      </rPr>
      <t>EMPTY PICKUP FROM:</t>
    </r>
    <r>
      <rPr>
        <sz val="11"/>
        <rFont val="Calibri"/>
        <family val="2"/>
        <scheme val="minor"/>
      </rPr>
      <t xml:space="preserve">  ZIRCON MT PLOT(14.04.25)</t>
    </r>
  </si>
  <si>
    <r>
      <rPr>
        <b/>
        <sz val="11"/>
        <rFont val="Calibri"/>
        <family val="2"/>
        <scheme val="minor"/>
      </rPr>
      <t>STUFFING  &amp; PRINT OUT AT</t>
    </r>
    <r>
      <rPr>
        <sz val="11"/>
        <rFont val="Calibri"/>
        <family val="2"/>
        <scheme val="minor"/>
      </rPr>
      <t>: A S  SHIPPING NUMBAL CFS (15.04.25 )</t>
    </r>
  </si>
  <si>
    <r>
      <rPr>
        <b/>
        <sz val="11"/>
        <rFont val="Calibri"/>
        <family val="2"/>
        <scheme val="minor"/>
      </rPr>
      <t>UNLOAD AT</t>
    </r>
    <r>
      <rPr>
        <sz val="11"/>
        <rFont val="Calibri"/>
        <family val="2"/>
        <scheme val="minor"/>
      </rPr>
      <t xml:space="preserve"> : KATTUPALLI  PORT ( 16.04.25)</t>
    </r>
  </si>
  <si>
    <t xml:space="preserve">1X20 FT </t>
  </si>
  <si>
    <t>VEH NO: TN05AK4833</t>
  </si>
  <si>
    <t>CON: ELNU2251010</t>
  </si>
  <si>
    <r>
      <rPr>
        <b/>
        <sz val="10"/>
        <color theme="1"/>
        <rFont val="Verdana"/>
        <family val="2"/>
      </rPr>
      <t>Total</t>
    </r>
    <r>
      <rPr>
        <sz val="10"/>
        <color theme="1"/>
        <rFont val="Verdana"/>
        <family val="2"/>
      </rPr>
      <t xml:space="preserve"> : Rupees Eleven Thousand Only</t>
    </r>
  </si>
  <si>
    <t>SAFETRANS MULTIMODAL PVT. LTD.</t>
  </si>
  <si>
    <t>NO.107/75, SALZBURG SQUARE, 3 FLOOR, HARRINGTON ROAD,</t>
  </si>
  <si>
    <t>BILL.NO: 20</t>
  </si>
  <si>
    <t xml:space="preserve">        CHETPET -600031.</t>
  </si>
  <si>
    <t>CONTACT  NO : 9566089500.</t>
  </si>
  <si>
    <r>
      <rPr>
        <b/>
        <sz val="11"/>
        <rFont val="Calibri"/>
        <family val="2"/>
        <scheme val="minor"/>
      </rPr>
      <t>EMPTY PICKUP FROM:</t>
    </r>
    <r>
      <rPr>
        <sz val="11"/>
        <rFont val="Calibri"/>
        <family val="2"/>
        <scheme val="minor"/>
      </rPr>
      <t xml:space="preserve">  KAILASH MT PLOT(14.04.25)</t>
    </r>
  </si>
  <si>
    <r>
      <rPr>
        <b/>
        <sz val="11"/>
        <rFont val="Calibri"/>
        <family val="2"/>
        <scheme val="minor"/>
      </rPr>
      <t>STUFFING  AT</t>
    </r>
    <r>
      <rPr>
        <sz val="11"/>
        <rFont val="Calibri"/>
        <family val="2"/>
        <scheme val="minor"/>
      </rPr>
      <t>: PONDICHERRY  (15.04.25 )</t>
    </r>
  </si>
  <si>
    <r>
      <rPr>
        <b/>
        <sz val="11"/>
        <rFont val="Calibri"/>
        <family val="2"/>
        <scheme val="minor"/>
      </rPr>
      <t xml:space="preserve">UNLOADED AT  :  </t>
    </r>
    <r>
      <rPr>
        <sz val="11"/>
        <rFont val="Calibri"/>
        <family val="2"/>
        <scheme val="minor"/>
      </rPr>
      <t>CONCARD CFS (16.04.25)</t>
    </r>
  </si>
  <si>
    <r>
      <rPr>
        <b/>
        <sz val="11"/>
        <rFont val="Calibri"/>
        <family val="2"/>
        <scheme val="minor"/>
      </rPr>
      <t>LESS :</t>
    </r>
    <r>
      <rPr>
        <sz val="11"/>
        <rFont val="Calibri"/>
        <family val="2"/>
        <scheme val="minor"/>
      </rPr>
      <t xml:space="preserve"> ADVANCE (1X20000)= Rs.20000 /-</t>
    </r>
  </si>
  <si>
    <t xml:space="preserve">1X40 FT </t>
  </si>
  <si>
    <r>
      <rPr>
        <b/>
        <sz val="10"/>
        <color theme="1"/>
        <rFont val="Verdana"/>
        <family val="2"/>
      </rPr>
      <t xml:space="preserve">VEH NO: </t>
    </r>
    <r>
      <rPr>
        <sz val="10"/>
        <color theme="1"/>
        <rFont val="Verdana"/>
        <family val="2"/>
      </rPr>
      <t>TN03Q9759</t>
    </r>
  </si>
  <si>
    <r>
      <rPr>
        <b/>
        <sz val="10"/>
        <color theme="1"/>
        <rFont val="Verdana"/>
        <family val="2"/>
      </rPr>
      <t>CON:</t>
    </r>
    <r>
      <rPr>
        <sz val="10"/>
        <color theme="1"/>
        <rFont val="Verdana"/>
        <family val="2"/>
      </rPr>
      <t xml:space="preserve"> HMMU6232636</t>
    </r>
  </si>
  <si>
    <r>
      <rPr>
        <b/>
        <sz val="10"/>
        <color theme="1"/>
        <rFont val="Verdana"/>
        <family val="2"/>
      </rPr>
      <t>Total</t>
    </r>
    <r>
      <rPr>
        <sz val="10"/>
        <color theme="1"/>
        <rFont val="Verdana"/>
        <family val="2"/>
      </rPr>
      <t xml:space="preserve"> : Rupees Five  Thousand  Five Hundred Only</t>
    </r>
  </si>
</sst>
</file>

<file path=xl/styles.xml><?xml version="1.0" encoding="utf-8"?>
<styleSheet xmlns="http://schemas.openxmlformats.org/spreadsheetml/2006/main">
  <numFmts count="1">
    <numFmt numFmtId="164" formatCode="d\.m\.yy;@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Verdana"/>
      <family val="2"/>
    </font>
    <font>
      <sz val="12"/>
      <color rgb="FF000000"/>
      <name val="Verdana"/>
      <family val="2"/>
    </font>
    <font>
      <sz val="11"/>
      <color rgb="FF000000"/>
      <name val="Verdana"/>
      <family val="2"/>
    </font>
    <font>
      <sz val="10"/>
      <color rgb="FF000000"/>
      <name val="Verdana"/>
      <family val="2"/>
    </font>
    <font>
      <sz val="11"/>
      <color theme="1"/>
      <name val="Verdana"/>
      <family val="2"/>
    </font>
    <font>
      <b/>
      <sz val="10"/>
      <color rgb="FF222222"/>
      <name val="Verdana"/>
      <family val="2"/>
    </font>
    <font>
      <b/>
      <sz val="10"/>
      <color theme="1"/>
      <name val="Verdana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sz val="10"/>
      <color rgb="FF222222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2"/>
      <color theme="1"/>
      <name val="Verdana"/>
      <family val="2"/>
    </font>
    <font>
      <b/>
      <sz val="12"/>
      <color theme="1"/>
      <name val="Verdana"/>
      <family val="2"/>
    </font>
    <font>
      <b/>
      <u/>
      <sz val="11"/>
      <color theme="1"/>
      <name val="Verdana"/>
      <family val="2"/>
    </font>
    <font>
      <sz val="12"/>
      <color theme="1"/>
      <name val="Verdana"/>
      <family val="2"/>
    </font>
    <font>
      <sz val="11"/>
      <name val="Verdana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/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5" xfId="0" applyFont="1" applyBorder="1"/>
    <xf numFmtId="0" fontId="8" fillId="0" borderId="0" xfId="0" applyFont="1" applyAlignment="1">
      <alignment vertical="center"/>
    </xf>
    <xf numFmtId="0" fontId="0" fillId="0" borderId="6" xfId="0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left"/>
    </xf>
    <xf numFmtId="0" fontId="4" fillId="0" borderId="0" xfId="0" applyFont="1"/>
    <xf numFmtId="0" fontId="4" fillId="0" borderId="8" xfId="0" applyFont="1" applyBorder="1"/>
    <xf numFmtId="0" fontId="4" fillId="0" borderId="10" xfId="0" applyFont="1" applyBorder="1" applyAlignment="1">
      <alignment vertical="center"/>
    </xf>
    <xf numFmtId="0" fontId="0" fillId="0" borderId="10" xfId="0" applyBorder="1"/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0" fontId="10" fillId="0" borderId="12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/>
    <xf numFmtId="0" fontId="11" fillId="0" borderId="1" xfId="0" applyFont="1" applyBorder="1"/>
    <xf numFmtId="0" fontId="4" fillId="0" borderId="14" xfId="0" applyFont="1" applyBorder="1"/>
    <xf numFmtId="0" fontId="4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Border="1"/>
    <xf numFmtId="0" fontId="4" fillId="0" borderId="15" xfId="0" applyFont="1" applyBorder="1"/>
    <xf numFmtId="17" fontId="4" fillId="0" borderId="5" xfId="0" applyNumberFormat="1" applyFont="1" applyBorder="1" applyAlignment="1">
      <alignment horizontal="left"/>
    </xf>
    <xf numFmtId="0" fontId="4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4" fillId="0" borderId="5" xfId="0" applyFont="1" applyBorder="1"/>
    <xf numFmtId="0" fontId="0" fillId="0" borderId="0" xfId="0" applyFont="1" applyBorder="1"/>
    <xf numFmtId="0" fontId="4" fillId="0" borderId="1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2" fillId="0" borderId="8" xfId="0" applyFont="1" applyBorder="1"/>
    <xf numFmtId="0" fontId="12" fillId="0" borderId="5" xfId="0" applyFont="1" applyBorder="1"/>
    <xf numFmtId="0" fontId="13" fillId="0" borderId="0" xfId="0" applyFont="1" applyBorder="1"/>
    <xf numFmtId="0" fontId="12" fillId="0" borderId="0" xfId="0" applyFont="1" applyBorder="1"/>
    <xf numFmtId="0" fontId="14" fillId="0" borderId="8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10" fillId="0" borderId="8" xfId="0" applyFont="1" applyBorder="1"/>
    <xf numFmtId="0" fontId="10" fillId="0" borderId="5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4" fillId="0" borderId="18" xfId="0" applyFont="1" applyBorder="1"/>
    <xf numFmtId="0" fontId="4" fillId="0" borderId="12" xfId="0" applyFont="1" applyBorder="1"/>
    <xf numFmtId="0" fontId="0" fillId="0" borderId="9" xfId="0" applyFont="1" applyBorder="1"/>
    <xf numFmtId="0" fontId="4" fillId="0" borderId="9" xfId="0" applyFont="1" applyBorder="1"/>
    <xf numFmtId="0" fontId="4" fillId="0" borderId="16" xfId="0" applyFont="1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left"/>
    </xf>
    <xf numFmtId="0" fontId="4" fillId="0" borderId="10" xfId="0" applyFont="1" applyBorder="1"/>
    <xf numFmtId="0" fontId="4" fillId="0" borderId="11" xfId="0" applyFont="1" applyBorder="1"/>
    <xf numFmtId="0" fontId="11" fillId="0" borderId="17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/>
    <xf numFmtId="0" fontId="10" fillId="0" borderId="17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0" xfId="0" applyFont="1" applyBorder="1"/>
    <xf numFmtId="14" fontId="4" fillId="0" borderId="20" xfId="0" applyNumberFormat="1" applyFont="1" applyBorder="1" applyAlignment="1">
      <alignment horizontal="left"/>
    </xf>
    <xf numFmtId="0" fontId="1" fillId="0" borderId="20" xfId="0" applyFont="1" applyBorder="1"/>
    <xf numFmtId="0" fontId="0" fillId="0" borderId="20" xfId="0" applyBorder="1" applyAlignment="1">
      <alignment horizontal="left"/>
    </xf>
    <xf numFmtId="0" fontId="10" fillId="0" borderId="13" xfId="0" applyFont="1" applyBorder="1"/>
    <xf numFmtId="0" fontId="4" fillId="0" borderId="20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5" fillId="0" borderId="17" xfId="0" applyFont="1" applyBorder="1" applyAlignment="1"/>
    <xf numFmtId="0" fontId="15" fillId="0" borderId="10" xfId="0" applyFont="1" applyBorder="1" applyAlignment="1"/>
    <xf numFmtId="0" fontId="15" fillId="0" borderId="11" xfId="0" applyFont="1" applyBorder="1" applyAlignment="1"/>
    <xf numFmtId="0" fontId="10" fillId="0" borderId="17" xfId="0" applyFont="1" applyBorder="1"/>
    <xf numFmtId="0" fontId="10" fillId="0" borderId="10" xfId="0" applyFont="1" applyBorder="1" applyAlignment="1">
      <alignment horizontal="center"/>
    </xf>
    <xf numFmtId="0" fontId="10" fillId="0" borderId="2" xfId="0" applyFont="1" applyBorder="1"/>
    <xf numFmtId="0" fontId="10" fillId="0" borderId="20" xfId="0" applyFont="1" applyBorder="1" applyAlignment="1">
      <alignment horizontal="center" wrapText="1"/>
    </xf>
    <xf numFmtId="0" fontId="10" fillId="0" borderId="17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15" xfId="0" applyFont="1" applyBorder="1"/>
    <xf numFmtId="0" fontId="10" fillId="0" borderId="5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18" xfId="0" applyFont="1" applyBorder="1"/>
    <xf numFmtId="0" fontId="4" fillId="0" borderId="18" xfId="0" applyFont="1" applyBorder="1" applyAlignment="1">
      <alignment horizontal="center"/>
    </xf>
    <xf numFmtId="0" fontId="4" fillId="0" borderId="17" xfId="0" applyFont="1" applyBorder="1"/>
    <xf numFmtId="0" fontId="11" fillId="0" borderId="2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6" fillId="0" borderId="9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8" fillId="0" borderId="0" xfId="0" applyFont="1"/>
    <xf numFmtId="0" fontId="5" fillId="0" borderId="12" xfId="0" applyFont="1" applyBorder="1" applyAlignment="1">
      <alignment horizontal="left"/>
    </xf>
    <xf numFmtId="0" fontId="9" fillId="0" borderId="17" xfId="0" applyFont="1" applyBorder="1" applyAlignment="1">
      <alignment horizontal="center"/>
    </xf>
    <xf numFmtId="0" fontId="10" fillId="0" borderId="17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horizontal="center"/>
    </xf>
    <xf numFmtId="0" fontId="10" fillId="0" borderId="1" xfId="0" applyFont="1" applyBorder="1"/>
    <xf numFmtId="0" fontId="17" fillId="2" borderId="1" xfId="0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0" fontId="16" fillId="2" borderId="14" xfId="0" applyFont="1" applyFill="1" applyBorder="1"/>
    <xf numFmtId="0" fontId="10" fillId="0" borderId="10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5" xfId="0" applyFont="1" applyBorder="1"/>
    <xf numFmtId="0" fontId="16" fillId="2" borderId="5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8" xfId="0" applyFont="1" applyFill="1" applyBorder="1"/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2" borderId="0" xfId="0" applyFont="1" applyFill="1" applyBorder="1"/>
    <xf numFmtId="0" fontId="18" fillId="0" borderId="5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5" xfId="0" applyFont="1" applyBorder="1" applyAlignment="1">
      <alignment vertical="center"/>
    </xf>
    <xf numFmtId="0" fontId="20" fillId="2" borderId="5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4" fillId="0" borderId="0" xfId="0" applyFont="1" applyBorder="1" applyAlignment="1">
      <alignment horizontal="left"/>
    </xf>
    <xf numFmtId="0" fontId="8" fillId="2" borderId="5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0" borderId="0" xfId="0" applyFont="1" applyBorder="1" applyAlignment="1">
      <alignment horizontal="left"/>
    </xf>
    <xf numFmtId="0" fontId="11" fillId="0" borderId="5" xfId="0" applyFont="1" applyBorder="1" applyAlignment="1">
      <alignment vertical="center"/>
    </xf>
    <xf numFmtId="0" fontId="8" fillId="0" borderId="0" xfId="0" applyFont="1" applyBorder="1"/>
    <xf numFmtId="0" fontId="4" fillId="0" borderId="1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horizontal="left"/>
    </xf>
    <xf numFmtId="0" fontId="10" fillId="0" borderId="5" xfId="0" applyFont="1" applyBorder="1" applyAlignment="1">
      <alignment vertical="center"/>
    </xf>
    <xf numFmtId="0" fontId="4" fillId="0" borderId="24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23" fillId="2" borderId="5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10" fillId="0" borderId="20" xfId="0" applyFont="1" applyBorder="1" applyAlignment="1">
      <alignment horizontal="left"/>
    </xf>
    <xf numFmtId="14" fontId="4" fillId="0" borderId="17" xfId="0" applyNumberFormat="1" applyFont="1" applyBorder="1" applyAlignment="1">
      <alignment horizontal="left"/>
    </xf>
    <xf numFmtId="16" fontId="4" fillId="0" borderId="11" xfId="0" applyNumberFormat="1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1" xfId="0" applyBorder="1" applyAlignment="1">
      <alignment horizontal="left"/>
    </xf>
    <xf numFmtId="0" fontId="17" fillId="2" borderId="1" xfId="0" applyFont="1" applyFill="1" applyBorder="1"/>
    <xf numFmtId="0" fontId="16" fillId="2" borderId="2" xfId="0" applyFont="1" applyFill="1" applyBorder="1"/>
    <xf numFmtId="0" fontId="24" fillId="2" borderId="5" xfId="0" applyFont="1" applyFill="1" applyBorder="1"/>
    <xf numFmtId="0" fontId="24" fillId="2" borderId="0" xfId="0" applyFont="1" applyFill="1"/>
    <xf numFmtId="0" fontId="10" fillId="0" borderId="13" xfId="0" applyFont="1" applyBorder="1" applyAlignment="1">
      <alignment horizontal="center"/>
    </xf>
    <xf numFmtId="0" fontId="18" fillId="0" borderId="5" xfId="0" applyFont="1" applyBorder="1"/>
    <xf numFmtId="0" fontId="18" fillId="0" borderId="0" xfId="0" applyFont="1"/>
    <xf numFmtId="0" fontId="25" fillId="2" borderId="0" xfId="0" applyFont="1" applyFill="1"/>
    <xf numFmtId="0" fontId="4" fillId="0" borderId="13" xfId="0" applyFont="1" applyBorder="1" applyAlignment="1">
      <alignment horizontal="center"/>
    </xf>
    <xf numFmtId="0" fontId="19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20" xfId="0" applyFont="1" applyBorder="1"/>
    <xf numFmtId="0" fontId="4" fillId="0" borderId="20" xfId="0" applyFont="1" applyBorder="1" applyAlignment="1">
      <alignment horizontal="center"/>
    </xf>
    <xf numFmtId="14" fontId="4" fillId="0" borderId="27" xfId="0" applyNumberFormat="1" applyFont="1" applyBorder="1" applyAlignment="1">
      <alignment horizontal="center"/>
    </xf>
    <xf numFmtId="14" fontId="4" fillId="0" borderId="28" xfId="0" applyNumberFormat="1" applyFont="1" applyBorder="1" applyAlignment="1">
      <alignment horizontal="center"/>
    </xf>
    <xf numFmtId="0" fontId="16" fillId="2" borderId="5" xfId="0" applyFont="1" applyFill="1" applyBorder="1"/>
    <xf numFmtId="0" fontId="16" fillId="2" borderId="0" xfId="0" applyFont="1" applyFill="1"/>
    <xf numFmtId="0" fontId="4" fillId="0" borderId="29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>
      <selection activeCell="M21" sqref="M21"/>
    </sheetView>
  </sheetViews>
  <sheetFormatPr defaultColWidth="9" defaultRowHeight="15"/>
  <cols>
    <col min="3" max="3" width="13.5703125" customWidth="1"/>
    <col min="5" max="5" width="9" customWidth="1"/>
    <col min="6" max="6" width="8.42578125" customWidth="1"/>
    <col min="7" max="7" width="9.5703125" customWidth="1"/>
    <col min="8" max="8" width="6.5703125" hidden="1" customWidth="1"/>
    <col min="10" max="10" width="6.42578125" customWidth="1"/>
  </cols>
  <sheetData>
    <row r="1" spans="1:10">
      <c r="A1" s="1" t="s">
        <v>0</v>
      </c>
      <c r="B1" s="1"/>
      <c r="C1" s="1"/>
      <c r="D1" s="1"/>
      <c r="G1" s="2" t="s">
        <v>1</v>
      </c>
      <c r="H1" s="2"/>
      <c r="I1" s="2"/>
      <c r="J1" s="2"/>
    </row>
    <row r="2" spans="1:10">
      <c r="A2" s="3"/>
      <c r="B2" s="4"/>
      <c r="C2" s="4"/>
      <c r="D2" s="4"/>
      <c r="G2" s="2" t="s">
        <v>2</v>
      </c>
      <c r="H2" s="2"/>
      <c r="I2" s="2"/>
      <c r="J2" s="2"/>
    </row>
    <row r="3" spans="1:10" ht="36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</row>
    <row r="4" spans="1:10" ht="36">
      <c r="A4" s="6"/>
      <c r="B4" s="7"/>
      <c r="C4" s="7"/>
      <c r="D4" s="7"/>
      <c r="E4" s="6"/>
      <c r="F4" s="6"/>
      <c r="G4" s="6"/>
      <c r="H4" s="6"/>
    </row>
    <row r="5" spans="1:10" ht="18.75">
      <c r="A5" s="8" t="s">
        <v>4</v>
      </c>
      <c r="B5" s="8"/>
      <c r="C5" s="8"/>
      <c r="D5" s="8"/>
      <c r="E5" s="8"/>
      <c r="F5" s="8"/>
      <c r="G5" s="8"/>
      <c r="H5" s="8"/>
    </row>
    <row r="6" spans="1:10">
      <c r="A6" s="2" t="s">
        <v>5</v>
      </c>
      <c r="B6" s="2"/>
      <c r="C6" s="2"/>
      <c r="D6" s="2"/>
      <c r="E6" s="2"/>
      <c r="F6" s="2"/>
      <c r="G6" s="2"/>
      <c r="H6" s="2"/>
    </row>
    <row r="7" spans="1:10">
      <c r="A7" s="2" t="s">
        <v>6</v>
      </c>
      <c r="B7" s="2"/>
      <c r="C7" s="2"/>
      <c r="D7" s="2"/>
      <c r="E7" s="2"/>
      <c r="F7" s="2"/>
      <c r="G7" s="2"/>
      <c r="H7" s="2"/>
    </row>
    <row r="8" spans="1:10">
      <c r="A8" s="2" t="s">
        <v>7</v>
      </c>
      <c r="B8" s="2"/>
      <c r="C8" s="2"/>
      <c r="D8" s="2"/>
      <c r="E8" s="2"/>
      <c r="F8" s="2"/>
      <c r="G8" s="2"/>
      <c r="H8" s="2"/>
    </row>
    <row r="9" spans="1:10" ht="15.75" thickBot="1">
      <c r="B9" s="4"/>
      <c r="C9" s="4"/>
      <c r="D9" s="4"/>
    </row>
    <row r="10" spans="1:10">
      <c r="A10" s="9" t="s">
        <v>8</v>
      </c>
      <c r="B10" s="10"/>
      <c r="C10" s="10"/>
      <c r="D10" s="10"/>
      <c r="E10" s="11"/>
      <c r="F10" s="11"/>
      <c r="G10" s="11"/>
      <c r="H10" s="12"/>
      <c r="I10" s="13">
        <v>45778</v>
      </c>
      <c r="J10" s="14"/>
    </row>
    <row r="11" spans="1:10" ht="16.5" thickBot="1">
      <c r="A11" s="15" t="s">
        <v>9</v>
      </c>
      <c r="B11" s="4"/>
      <c r="C11" s="4"/>
      <c r="D11" s="4"/>
      <c r="I11" s="16" t="s">
        <v>10</v>
      </c>
      <c r="J11" s="17"/>
    </row>
    <row r="12" spans="1:10" ht="16.5" thickBot="1">
      <c r="A12" s="15" t="s">
        <v>11</v>
      </c>
      <c r="B12" s="4"/>
      <c r="C12" s="4"/>
      <c r="D12" s="4"/>
      <c r="I12" s="18"/>
      <c r="J12" s="19"/>
    </row>
    <row r="13" spans="1:10" ht="15.75" thickBot="1">
      <c r="A13" s="20" t="s">
        <v>12</v>
      </c>
      <c r="B13" s="21"/>
      <c r="C13" s="21"/>
      <c r="D13" s="21"/>
      <c r="I13" s="22" t="s">
        <v>13</v>
      </c>
      <c r="J13" s="17"/>
    </row>
    <row r="14" spans="1:10" ht="15.75">
      <c r="A14" s="15" t="s">
        <v>14</v>
      </c>
      <c r="B14" s="23"/>
      <c r="C14" s="23"/>
      <c r="D14" s="23"/>
      <c r="I14" s="24"/>
      <c r="J14" s="25"/>
    </row>
    <row r="15" spans="1:10" ht="16.5" thickBot="1">
      <c r="A15" s="26" t="s">
        <v>15</v>
      </c>
      <c r="B15" s="27"/>
      <c r="C15" s="27"/>
      <c r="D15" s="27"/>
      <c r="E15" s="28"/>
      <c r="I15" s="29"/>
      <c r="J15" s="30"/>
    </row>
    <row r="16" spans="1:10" ht="16.5" thickBot="1">
      <c r="A16" s="15" t="s">
        <v>16</v>
      </c>
      <c r="B16" s="31"/>
      <c r="C16" s="31"/>
      <c r="D16" s="31"/>
      <c r="E16" s="32"/>
      <c r="I16" s="24"/>
      <c r="J16" s="25"/>
    </row>
    <row r="17" spans="1:10" ht="15.75" thickBot="1">
      <c r="A17" s="33"/>
      <c r="B17" s="33"/>
      <c r="C17" s="33"/>
      <c r="D17" s="33"/>
      <c r="E17" s="34"/>
      <c r="F17" s="34"/>
      <c r="G17" s="34"/>
      <c r="H17" s="34"/>
      <c r="I17" s="34"/>
      <c r="J17" s="35"/>
    </row>
    <row r="18" spans="1:10" ht="15.75" thickBot="1">
      <c r="A18" s="36" t="s">
        <v>17</v>
      </c>
      <c r="B18" s="37" t="s">
        <v>18</v>
      </c>
      <c r="C18" s="38"/>
      <c r="D18" s="38"/>
      <c r="E18" s="38"/>
      <c r="F18" s="39"/>
      <c r="G18" s="39"/>
      <c r="H18" s="39"/>
      <c r="I18" s="40"/>
      <c r="J18" s="41"/>
    </row>
    <row r="19" spans="1:10" s="48" customFormat="1">
      <c r="A19" s="42"/>
      <c r="B19" s="43" t="s">
        <v>19</v>
      </c>
      <c r="C19" s="11"/>
      <c r="D19" s="11"/>
      <c r="E19" s="44"/>
      <c r="F19" s="45"/>
      <c r="G19" s="45"/>
      <c r="H19" s="12"/>
      <c r="I19" s="46"/>
      <c r="J19" s="47"/>
    </row>
    <row r="20" spans="1:10" s="48" customFormat="1" ht="15.75" thickBot="1">
      <c r="A20" s="49"/>
      <c r="B20" s="50"/>
      <c r="D20" s="51"/>
      <c r="E20" s="30"/>
      <c r="F20" s="52"/>
      <c r="G20" s="53"/>
      <c r="H20" s="53"/>
      <c r="I20" s="54"/>
      <c r="J20" s="55"/>
    </row>
    <row r="21" spans="1:10" s="48" customFormat="1" ht="15.75" thickBot="1">
      <c r="A21" s="49"/>
      <c r="B21" s="56" t="s">
        <v>20</v>
      </c>
      <c r="C21" s="57"/>
      <c r="D21" s="51"/>
      <c r="E21" s="30"/>
      <c r="F21" s="58">
        <v>100000</v>
      </c>
      <c r="G21" s="39"/>
      <c r="H21" s="39"/>
      <c r="I21" s="39"/>
      <c r="J21" s="59"/>
    </row>
    <row r="22" spans="1:10" s="48" customFormat="1">
      <c r="A22" s="49"/>
      <c r="B22" s="56"/>
      <c r="C22" s="57"/>
      <c r="D22" s="51"/>
      <c r="E22" s="30"/>
      <c r="F22" s="60"/>
      <c r="G22" s="60"/>
      <c r="H22" s="60"/>
      <c r="I22" s="61"/>
      <c r="J22" s="62"/>
    </row>
    <row r="23" spans="1:10" s="48" customFormat="1" ht="15.75" thickBot="1">
      <c r="A23" s="49"/>
      <c r="B23" s="56" t="s">
        <v>21</v>
      </c>
      <c r="C23" s="57"/>
      <c r="D23" s="51" t="s">
        <v>22</v>
      </c>
      <c r="E23" s="30"/>
      <c r="F23" s="63"/>
      <c r="G23" s="60"/>
      <c r="H23" s="60"/>
      <c r="I23" s="60"/>
      <c r="J23" s="64"/>
    </row>
    <row r="24" spans="1:10" s="48" customFormat="1" ht="15.75" thickBot="1">
      <c r="A24" s="49"/>
      <c r="B24" s="56" t="s">
        <v>23</v>
      </c>
      <c r="C24" s="57"/>
      <c r="D24" s="51" t="s">
        <v>22</v>
      </c>
      <c r="E24" s="65"/>
      <c r="F24" s="58">
        <v>18000</v>
      </c>
      <c r="G24" s="39"/>
      <c r="H24" s="39"/>
      <c r="I24" s="39"/>
      <c r="J24" s="59"/>
    </row>
    <row r="25" spans="1:10" s="48" customFormat="1">
      <c r="A25" s="49"/>
      <c r="B25" s="66"/>
      <c r="C25" s="67"/>
      <c r="D25" s="68"/>
      <c r="E25" s="69"/>
      <c r="F25" s="63"/>
      <c r="G25" s="60"/>
      <c r="H25" s="60"/>
      <c r="I25" s="60"/>
      <c r="J25" s="64"/>
    </row>
    <row r="26" spans="1:10" s="48" customFormat="1">
      <c r="A26" s="49"/>
      <c r="B26" s="66"/>
      <c r="C26" s="67"/>
      <c r="D26" s="68"/>
      <c r="E26" s="65"/>
      <c r="F26" s="61"/>
      <c r="G26" s="61"/>
      <c r="H26" s="61"/>
      <c r="I26" s="61"/>
      <c r="J26" s="62"/>
    </row>
    <row r="27" spans="1:10" s="48" customFormat="1">
      <c r="A27" s="49"/>
      <c r="B27" s="56"/>
      <c r="C27" s="57"/>
      <c r="D27" s="51"/>
      <c r="E27" s="30"/>
      <c r="F27" s="63"/>
      <c r="G27" s="60"/>
      <c r="H27" s="60"/>
      <c r="I27" s="61"/>
      <c r="J27" s="62"/>
    </row>
    <row r="28" spans="1:10" s="48" customFormat="1">
      <c r="A28" s="49"/>
      <c r="B28" s="66"/>
      <c r="C28" s="67"/>
      <c r="D28" s="68"/>
      <c r="E28" s="65"/>
      <c r="F28" s="70"/>
      <c r="G28" s="61"/>
      <c r="H28" s="61"/>
      <c r="I28" s="61"/>
      <c r="J28" s="62"/>
    </row>
    <row r="29" spans="1:10" s="48" customFormat="1">
      <c r="A29" s="49"/>
      <c r="B29" s="66"/>
      <c r="C29" s="57"/>
      <c r="D29" s="51"/>
      <c r="E29" s="30"/>
      <c r="F29" s="70"/>
      <c r="G29" s="61"/>
      <c r="H29" s="61"/>
      <c r="I29" s="61"/>
      <c r="J29" s="62"/>
    </row>
    <row r="30" spans="1:10" s="48" customFormat="1">
      <c r="A30" s="49"/>
      <c r="B30" s="66"/>
      <c r="C30" s="57"/>
      <c r="D30" s="51"/>
      <c r="E30" s="71"/>
      <c r="F30" s="72"/>
      <c r="G30" s="73"/>
      <c r="H30" s="73"/>
      <c r="I30" s="61"/>
      <c r="J30" s="62"/>
    </row>
    <row r="31" spans="1:10" s="48" customFormat="1">
      <c r="A31" s="49"/>
      <c r="B31" s="56"/>
      <c r="C31" s="57"/>
      <c r="D31" s="51"/>
      <c r="E31" s="30"/>
      <c r="F31" s="70"/>
      <c r="G31" s="61"/>
      <c r="H31" s="61"/>
      <c r="I31" s="61"/>
      <c r="J31" s="62"/>
    </row>
    <row r="32" spans="1:10" s="48" customFormat="1">
      <c r="A32" s="49"/>
      <c r="B32" s="56"/>
      <c r="C32" s="57"/>
      <c r="D32" s="51"/>
      <c r="E32" s="30"/>
      <c r="F32" s="60"/>
      <c r="G32" s="60"/>
      <c r="H32" s="60"/>
      <c r="I32" s="61"/>
      <c r="J32" s="62"/>
    </row>
    <row r="33" spans="1:10" s="48" customFormat="1">
      <c r="A33" s="49"/>
      <c r="B33" s="56"/>
      <c r="C33" s="57"/>
      <c r="D33" s="51"/>
      <c r="E33" s="30"/>
      <c r="F33" s="60"/>
      <c r="G33" s="60"/>
      <c r="H33" s="60"/>
      <c r="I33" s="61"/>
      <c r="J33" s="62"/>
    </row>
    <row r="34" spans="1:10" s="48" customFormat="1">
      <c r="A34" s="49"/>
      <c r="B34" s="56"/>
      <c r="C34" s="57"/>
      <c r="D34" s="51"/>
      <c r="E34" s="30"/>
      <c r="F34" s="61"/>
      <c r="G34" s="61"/>
      <c r="H34" s="61"/>
      <c r="I34" s="61"/>
      <c r="J34" s="62"/>
    </row>
    <row r="35" spans="1:10" s="48" customFormat="1" ht="15.75" thickBot="1">
      <c r="A35" s="74"/>
      <c r="B35" s="75"/>
      <c r="C35" s="76"/>
      <c r="D35" s="77"/>
      <c r="E35" s="78"/>
      <c r="F35" s="53"/>
      <c r="G35" s="53"/>
      <c r="H35" s="53"/>
      <c r="I35" s="53"/>
      <c r="J35" s="79"/>
    </row>
    <row r="36" spans="1:10" s="48" customFormat="1" ht="15.75" thickBot="1">
      <c r="A36" s="80" t="s">
        <v>24</v>
      </c>
      <c r="B36" s="81"/>
      <c r="C36" s="81"/>
      <c r="D36" s="81"/>
      <c r="E36" s="82"/>
      <c r="F36" s="83">
        <f>SUM(F21:J35)</f>
        <v>118000</v>
      </c>
      <c r="G36" s="84"/>
      <c r="H36" s="84"/>
      <c r="I36" s="84"/>
      <c r="J36" s="85"/>
    </row>
    <row r="37" spans="1:10">
      <c r="A37" t="s">
        <v>25</v>
      </c>
      <c r="B37" s="23"/>
      <c r="C37" s="23"/>
      <c r="D37" s="23"/>
      <c r="E37" s="29"/>
      <c r="H37" s="24"/>
      <c r="I37" s="24"/>
      <c r="J37" s="24"/>
    </row>
    <row r="38" spans="1:10">
      <c r="A38" t="s">
        <v>26</v>
      </c>
      <c r="B38" s="4"/>
      <c r="C38" s="4"/>
      <c r="D38" s="86"/>
      <c r="E38" s="29"/>
      <c r="H38" s="24"/>
      <c r="I38" s="24"/>
      <c r="J38" s="24"/>
    </row>
    <row r="39" spans="1:10">
      <c r="A39" t="s">
        <v>27</v>
      </c>
      <c r="B39" s="4"/>
      <c r="C39" s="4"/>
      <c r="D39" s="4"/>
      <c r="G39" s="29"/>
      <c r="H39" s="87"/>
      <c r="I39" s="88"/>
      <c r="J39" s="89" t="s">
        <v>28</v>
      </c>
    </row>
    <row r="40" spans="1:10">
      <c r="A40" t="s">
        <v>29</v>
      </c>
      <c r="B40" s="4"/>
      <c r="C40" s="4"/>
      <c r="D40" s="4"/>
      <c r="E40" s="88"/>
      <c r="F40" s="88"/>
    </row>
    <row r="41" spans="1:10">
      <c r="A41" t="s">
        <v>30</v>
      </c>
      <c r="B41" s="4"/>
      <c r="C41" s="4"/>
      <c r="D41" s="86"/>
      <c r="E41" s="88"/>
      <c r="F41" s="88"/>
    </row>
    <row r="42" spans="1:10">
      <c r="A42" t="s">
        <v>31</v>
      </c>
      <c r="B42" s="4"/>
      <c r="C42" s="4"/>
      <c r="D42" s="4"/>
      <c r="H42" s="88"/>
      <c r="I42" s="88"/>
      <c r="J42" s="89" t="s">
        <v>32</v>
      </c>
    </row>
  </sheetData>
  <mergeCells count="24">
    <mergeCell ref="F27:H27"/>
    <mergeCell ref="F30:H30"/>
    <mergeCell ref="F32:H32"/>
    <mergeCell ref="F33:H33"/>
    <mergeCell ref="F36:J36"/>
    <mergeCell ref="F19:G19"/>
    <mergeCell ref="F21:J21"/>
    <mergeCell ref="F22:H22"/>
    <mergeCell ref="F23:J23"/>
    <mergeCell ref="F24:J24"/>
    <mergeCell ref="F25:J25"/>
    <mergeCell ref="A7:H7"/>
    <mergeCell ref="A8:H8"/>
    <mergeCell ref="I10:J10"/>
    <mergeCell ref="I11:J11"/>
    <mergeCell ref="I13:J13"/>
    <mergeCell ref="B18:E18"/>
    <mergeCell ref="F18:H18"/>
    <mergeCell ref="A1:D1"/>
    <mergeCell ref="G1:J1"/>
    <mergeCell ref="G2:J2"/>
    <mergeCell ref="A3:J3"/>
    <mergeCell ref="A5:H5"/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>
      <selection activeCell="L24" sqref="L24"/>
    </sheetView>
  </sheetViews>
  <sheetFormatPr defaultRowHeight="15"/>
  <sheetData>
    <row r="1" spans="1:8">
      <c r="A1" s="1" t="s">
        <v>0</v>
      </c>
      <c r="B1" s="1"/>
      <c r="C1" s="1"/>
      <c r="D1" s="1"/>
      <c r="G1" t="s">
        <v>33</v>
      </c>
      <c r="H1" s="90" t="s">
        <v>34</v>
      </c>
    </row>
    <row r="2" spans="1:8">
      <c r="A2" s="3"/>
      <c r="B2" s="3"/>
      <c r="C2" s="3"/>
      <c r="D2" s="3"/>
      <c r="H2" s="90" t="s">
        <v>35</v>
      </c>
    </row>
    <row r="3" spans="1:8">
      <c r="A3" s="91" t="s">
        <v>3</v>
      </c>
      <c r="B3" s="91"/>
      <c r="C3" s="91"/>
      <c r="D3" s="91"/>
      <c r="E3" s="91"/>
      <c r="F3" s="91"/>
      <c r="G3" s="91"/>
      <c r="H3" s="91"/>
    </row>
    <row r="4" spans="1:8">
      <c r="A4" s="91"/>
      <c r="B4" s="91"/>
      <c r="C4" s="91"/>
      <c r="D4" s="91"/>
      <c r="E4" s="91"/>
      <c r="F4" s="91"/>
      <c r="G4" s="91"/>
      <c r="H4" s="91"/>
    </row>
    <row r="5" spans="1:8" ht="18.75">
      <c r="A5" s="92" t="s">
        <v>36</v>
      </c>
      <c r="B5" s="92"/>
      <c r="C5" s="92"/>
      <c r="D5" s="92"/>
      <c r="E5" s="92"/>
      <c r="F5" s="92"/>
      <c r="G5" s="92"/>
      <c r="H5" s="92"/>
    </row>
    <row r="6" spans="1:8">
      <c r="A6" s="93" t="s">
        <v>37</v>
      </c>
      <c r="B6" s="93"/>
      <c r="C6" s="93"/>
      <c r="D6" s="93"/>
      <c r="E6" s="93"/>
      <c r="F6" s="93"/>
      <c r="G6" s="93"/>
      <c r="H6" s="93"/>
    </row>
    <row r="7" spans="1:8">
      <c r="A7" s="93" t="s">
        <v>38</v>
      </c>
      <c r="B7" s="93"/>
      <c r="C7" s="93"/>
      <c r="D7" s="93"/>
      <c r="E7" s="93"/>
      <c r="F7" s="93"/>
      <c r="G7" s="93"/>
      <c r="H7" s="93"/>
    </row>
    <row r="8" spans="1:8">
      <c r="A8" s="93" t="s">
        <v>39</v>
      </c>
      <c r="B8" s="93"/>
      <c r="C8" s="93"/>
      <c r="D8" s="93"/>
      <c r="E8" s="93"/>
      <c r="F8" s="93"/>
      <c r="G8" s="93"/>
      <c r="H8" s="93"/>
    </row>
    <row r="9" spans="1:8" ht="15.75" thickBot="1">
      <c r="A9" s="94"/>
      <c r="B9" s="94"/>
      <c r="C9" s="94"/>
      <c r="D9" s="94"/>
      <c r="E9" s="94"/>
      <c r="F9" s="94"/>
      <c r="G9" s="94"/>
      <c r="H9" s="94"/>
    </row>
    <row r="10" spans="1:8" ht="16.5" thickTop="1" thickBot="1"/>
    <row r="11" spans="1:8" ht="15.75" thickBot="1">
      <c r="A11" s="9" t="s">
        <v>8</v>
      </c>
      <c r="B11" s="11"/>
      <c r="C11" s="11"/>
      <c r="D11" s="11"/>
      <c r="E11" s="11"/>
      <c r="F11" s="11"/>
      <c r="G11" s="95" t="s">
        <v>40</v>
      </c>
      <c r="H11" s="96"/>
    </row>
    <row r="12" spans="1:8" ht="15.75" thickBot="1">
      <c r="A12" s="56" t="s">
        <v>41</v>
      </c>
      <c r="B12" s="51"/>
      <c r="C12" s="51"/>
      <c r="D12" s="51"/>
      <c r="E12" s="51"/>
      <c r="F12" s="51"/>
      <c r="G12" s="97" t="s">
        <v>42</v>
      </c>
      <c r="H12" s="98">
        <v>45750</v>
      </c>
    </row>
    <row r="13" spans="1:8" ht="15.75" thickBot="1">
      <c r="A13" s="56" t="s">
        <v>43</v>
      </c>
      <c r="B13" s="51"/>
      <c r="C13" s="51"/>
      <c r="D13" s="51"/>
      <c r="E13" s="51"/>
      <c r="F13" s="51"/>
      <c r="G13" s="99" t="s">
        <v>44</v>
      </c>
      <c r="H13" s="100">
        <v>2</v>
      </c>
    </row>
    <row r="14" spans="1:8" ht="15.75" thickBot="1">
      <c r="A14" s="56" t="s">
        <v>45</v>
      </c>
      <c r="B14" s="51"/>
      <c r="C14" s="51"/>
      <c r="D14" s="51"/>
      <c r="E14" s="51"/>
      <c r="F14" s="51"/>
      <c r="G14" s="101" t="s">
        <v>46</v>
      </c>
      <c r="H14" s="102" t="s">
        <v>47</v>
      </c>
    </row>
    <row r="15" spans="1:8" ht="15.75" thickBot="1">
      <c r="A15" s="56" t="s">
        <v>48</v>
      </c>
      <c r="B15" s="51"/>
      <c r="C15" s="51"/>
      <c r="D15" s="51"/>
      <c r="E15" s="51"/>
      <c r="F15" s="51"/>
      <c r="G15" s="103" t="s">
        <v>49</v>
      </c>
      <c r="H15" s="104" t="s">
        <v>50</v>
      </c>
    </row>
    <row r="16" spans="1:8" ht="15.75" thickBot="1">
      <c r="A16" s="75" t="s">
        <v>51</v>
      </c>
      <c r="B16" s="77"/>
      <c r="C16" s="77"/>
      <c r="D16" s="77"/>
      <c r="E16" s="77"/>
      <c r="F16" s="77"/>
      <c r="G16" s="105"/>
      <c r="H16" s="79"/>
    </row>
    <row r="17" spans="1:8" ht="15.75" thickBot="1">
      <c r="A17" s="106" t="s">
        <v>52</v>
      </c>
      <c r="B17" s="107"/>
      <c r="C17" s="107"/>
      <c r="D17" s="107"/>
      <c r="E17" s="107"/>
      <c r="F17" s="107"/>
      <c r="G17" s="107"/>
      <c r="H17" s="108"/>
    </row>
    <row r="18" spans="1:8" ht="15.75" thickBot="1">
      <c r="A18" s="109" t="s">
        <v>17</v>
      </c>
      <c r="B18" s="95" t="s">
        <v>18</v>
      </c>
      <c r="C18" s="110"/>
      <c r="D18" s="110"/>
      <c r="E18" s="96"/>
      <c r="F18" s="81"/>
      <c r="G18" s="40"/>
      <c r="H18" s="41"/>
    </row>
    <row r="19" spans="1:8" ht="27" thickBot="1">
      <c r="A19" s="101"/>
      <c r="B19" s="11"/>
      <c r="C19" s="11"/>
      <c r="D19" s="111"/>
      <c r="E19" s="11"/>
      <c r="F19" s="112" t="s">
        <v>53</v>
      </c>
      <c r="G19" s="113" t="s">
        <v>54</v>
      </c>
      <c r="H19" s="114" t="s">
        <v>55</v>
      </c>
    </row>
    <row r="20" spans="1:8">
      <c r="A20" s="115">
        <v>1</v>
      </c>
      <c r="B20" s="116" t="s">
        <v>56</v>
      </c>
      <c r="C20" s="117"/>
      <c r="D20" s="117"/>
      <c r="E20" s="117"/>
      <c r="F20" s="118"/>
      <c r="G20" s="119"/>
      <c r="H20" s="120"/>
    </row>
    <row r="21" spans="1:8">
      <c r="A21" s="115"/>
      <c r="B21" s="51" t="s">
        <v>57</v>
      </c>
      <c r="C21" s="51"/>
      <c r="D21" s="51"/>
      <c r="E21" s="51"/>
      <c r="F21" s="70">
        <v>0</v>
      </c>
      <c r="G21" s="121">
        <v>5850</v>
      </c>
      <c r="H21" s="62">
        <f>F21*G21</f>
        <v>0</v>
      </c>
    </row>
    <row r="22" spans="1:8">
      <c r="A22" s="115"/>
      <c r="B22" s="51" t="s">
        <v>58</v>
      </c>
      <c r="C22" s="51"/>
      <c r="D22" s="51"/>
      <c r="E22" s="51"/>
      <c r="F22" s="70">
        <v>0</v>
      </c>
      <c r="G22" s="121">
        <v>6680</v>
      </c>
      <c r="H22" s="62">
        <f>F22*G22</f>
        <v>0</v>
      </c>
    </row>
    <row r="23" spans="1:8">
      <c r="A23" s="115"/>
      <c r="B23" s="51"/>
      <c r="C23" s="51"/>
      <c r="D23" s="51"/>
      <c r="E23" s="51"/>
      <c r="F23" s="70"/>
      <c r="G23" s="121"/>
      <c r="H23" s="62"/>
    </row>
    <row r="24" spans="1:8">
      <c r="A24" s="115">
        <v>2</v>
      </c>
      <c r="B24" s="116" t="s">
        <v>59</v>
      </c>
      <c r="C24" s="117"/>
      <c r="D24" s="117"/>
      <c r="E24" s="117"/>
      <c r="F24" s="70"/>
      <c r="G24" s="121"/>
      <c r="H24" s="62"/>
    </row>
    <row r="25" spans="1:8">
      <c r="A25" s="115"/>
      <c r="B25" s="51" t="s">
        <v>57</v>
      </c>
      <c r="C25" s="51"/>
      <c r="D25" s="51"/>
      <c r="E25" s="51"/>
      <c r="F25" s="70">
        <v>0</v>
      </c>
      <c r="G25" s="121">
        <v>3900</v>
      </c>
      <c r="H25" s="62">
        <f>F25*G25</f>
        <v>0</v>
      </c>
    </row>
    <row r="26" spans="1:8">
      <c r="A26" s="115"/>
      <c r="B26" s="51" t="s">
        <v>58</v>
      </c>
      <c r="C26" s="51"/>
      <c r="D26" s="51"/>
      <c r="E26" s="51"/>
      <c r="F26" s="70">
        <v>4</v>
      </c>
      <c r="G26" s="121">
        <v>4680</v>
      </c>
      <c r="H26" s="62">
        <f>F26*G26</f>
        <v>18720</v>
      </c>
    </row>
    <row r="27" spans="1:8">
      <c r="A27" s="115"/>
      <c r="B27" s="51"/>
      <c r="C27" s="51"/>
      <c r="D27" s="51"/>
      <c r="E27" s="51"/>
      <c r="F27" s="70"/>
      <c r="G27" s="121"/>
      <c r="H27" s="62"/>
    </row>
    <row r="28" spans="1:8">
      <c r="A28" s="115">
        <v>3</v>
      </c>
      <c r="B28" s="122" t="s">
        <v>60</v>
      </c>
      <c r="C28" s="123"/>
      <c r="D28" s="123"/>
      <c r="E28" s="123"/>
      <c r="F28" s="70"/>
      <c r="G28" s="121"/>
      <c r="H28" s="62"/>
    </row>
    <row r="29" spans="1:8">
      <c r="A29" s="115"/>
      <c r="B29" s="51" t="s">
        <v>57</v>
      </c>
      <c r="C29" s="51"/>
      <c r="D29" s="51"/>
      <c r="E29" s="51"/>
      <c r="F29" s="70">
        <v>0</v>
      </c>
      <c r="G29" s="121">
        <v>3850</v>
      </c>
      <c r="H29" s="62">
        <f>F29*G29</f>
        <v>0</v>
      </c>
    </row>
    <row r="30" spans="1:8">
      <c r="A30" s="115"/>
      <c r="B30" s="51" t="s">
        <v>58</v>
      </c>
      <c r="C30" s="51"/>
      <c r="D30" s="51"/>
      <c r="E30" s="51"/>
      <c r="F30" s="70">
        <v>1</v>
      </c>
      <c r="G30" s="121">
        <v>4660</v>
      </c>
      <c r="H30" s="62">
        <f>F30*G30</f>
        <v>4660</v>
      </c>
    </row>
    <row r="31" spans="1:8">
      <c r="A31" s="115"/>
      <c r="B31" s="51"/>
      <c r="C31" s="51"/>
      <c r="D31" s="51"/>
      <c r="E31" s="51"/>
      <c r="F31" s="70"/>
      <c r="G31" s="121"/>
      <c r="H31" s="62"/>
    </row>
    <row r="32" spans="1:8">
      <c r="A32" s="115"/>
      <c r="B32" s="51"/>
      <c r="C32" s="51"/>
      <c r="D32" s="51"/>
      <c r="E32" s="51"/>
      <c r="F32" s="70"/>
      <c r="G32" s="121"/>
      <c r="H32" s="62"/>
    </row>
    <row r="33" spans="1:8">
      <c r="A33" s="115">
        <v>4</v>
      </c>
      <c r="B33" s="123" t="s">
        <v>61</v>
      </c>
      <c r="C33" s="51"/>
      <c r="D33" s="51"/>
      <c r="E33" s="51"/>
      <c r="F33" s="70"/>
      <c r="G33" s="121"/>
      <c r="H33" s="62"/>
    </row>
    <row r="34" spans="1:8">
      <c r="A34" s="115"/>
      <c r="B34" s="51" t="s">
        <v>57</v>
      </c>
      <c r="C34" s="51"/>
      <c r="D34" s="51"/>
      <c r="E34" s="51"/>
      <c r="F34" s="70"/>
      <c r="G34" s="121"/>
      <c r="H34" s="62"/>
    </row>
    <row r="35" spans="1:8">
      <c r="A35" s="115"/>
      <c r="B35" s="51" t="s">
        <v>58</v>
      </c>
      <c r="C35" s="51"/>
      <c r="D35" s="51"/>
      <c r="E35" s="51"/>
      <c r="F35" s="70">
        <v>0</v>
      </c>
      <c r="G35" s="121">
        <v>500</v>
      </c>
      <c r="H35" s="62">
        <f>G35*F35</f>
        <v>0</v>
      </c>
    </row>
    <row r="36" spans="1:8">
      <c r="A36" s="115"/>
      <c r="B36" s="51"/>
      <c r="C36" s="51"/>
      <c r="D36" s="51"/>
      <c r="E36" s="51"/>
      <c r="F36" s="70"/>
      <c r="G36" s="121"/>
      <c r="H36" s="62"/>
    </row>
    <row r="37" spans="1:8" ht="15.75" thickBot="1">
      <c r="A37" s="124"/>
      <c r="B37" s="77"/>
      <c r="C37" s="77"/>
      <c r="D37" s="77"/>
      <c r="E37" s="77"/>
      <c r="F37" s="52"/>
      <c r="G37" s="125"/>
      <c r="H37" s="79"/>
    </row>
    <row r="38" spans="1:8" ht="15.75" thickBot="1">
      <c r="A38" s="126"/>
      <c r="B38" s="81"/>
      <c r="C38" s="81"/>
      <c r="D38" s="81"/>
      <c r="E38" s="81"/>
      <c r="F38" s="81"/>
      <c r="G38" s="40"/>
      <c r="H38" s="127">
        <f>SUM(H21:H37)</f>
        <v>23380</v>
      </c>
    </row>
    <row r="39" spans="1:8">
      <c r="A39" s="128" t="s">
        <v>62</v>
      </c>
      <c r="B39" s="129"/>
      <c r="C39" s="129"/>
      <c r="D39" s="129"/>
      <c r="E39" s="129"/>
      <c r="F39" s="129"/>
      <c r="G39" s="129"/>
      <c r="H39" s="130"/>
    </row>
    <row r="40" spans="1:8" ht="15.75" thickBot="1">
      <c r="A40" s="75"/>
      <c r="B40" s="77"/>
      <c r="C40" s="77"/>
      <c r="D40" s="77"/>
      <c r="E40" s="77"/>
      <c r="F40" s="131"/>
      <c r="G40" s="131"/>
      <c r="H40" s="79"/>
    </row>
    <row r="41" spans="1:8">
      <c r="F41" s="132" t="s">
        <v>63</v>
      </c>
      <c r="G41" s="132"/>
      <c r="H41" s="132"/>
    </row>
    <row r="42" spans="1:8">
      <c r="H42" s="133"/>
    </row>
    <row r="43" spans="1:8">
      <c r="F43" s="3"/>
      <c r="G43" s="3"/>
      <c r="H43" s="134"/>
    </row>
    <row r="44" spans="1:8">
      <c r="F44" s="135" t="s">
        <v>32</v>
      </c>
      <c r="G44" s="135"/>
      <c r="H44" s="135"/>
    </row>
  </sheetData>
  <mergeCells count="13">
    <mergeCell ref="F44:H44"/>
    <mergeCell ref="G11:H11"/>
    <mergeCell ref="B18:E18"/>
    <mergeCell ref="B20:E20"/>
    <mergeCell ref="B24:E24"/>
    <mergeCell ref="A39:H39"/>
    <mergeCell ref="F41:H41"/>
    <mergeCell ref="A1:D1"/>
    <mergeCell ref="A3:H4"/>
    <mergeCell ref="A5:H5"/>
    <mergeCell ref="A6:H6"/>
    <mergeCell ref="A7:H7"/>
    <mergeCell ref="A8:H8"/>
  </mergeCells>
  <conditionalFormatting sqref="C7:C8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>
      <selection activeCell="N22" sqref="N22"/>
    </sheetView>
  </sheetViews>
  <sheetFormatPr defaultColWidth="9" defaultRowHeight="15"/>
  <cols>
    <col min="5" max="5" width="30.28515625" customWidth="1"/>
    <col min="6" max="6" width="8.42578125" customWidth="1"/>
    <col min="7" max="7" width="7" customWidth="1"/>
    <col min="8" max="8" width="7.85546875" customWidth="1"/>
  </cols>
  <sheetData>
    <row r="1" spans="1:10">
      <c r="A1" s="1" t="s">
        <v>0</v>
      </c>
      <c r="B1" s="1"/>
      <c r="C1" s="1"/>
      <c r="D1" s="1"/>
      <c r="G1" s="2" t="s">
        <v>64</v>
      </c>
      <c r="H1" s="2"/>
      <c r="I1" s="2"/>
      <c r="J1" s="2"/>
    </row>
    <row r="2" spans="1:10">
      <c r="A2" s="3"/>
      <c r="B2" s="4"/>
      <c r="C2" s="4"/>
      <c r="D2" s="4"/>
      <c r="G2" s="2" t="s">
        <v>65</v>
      </c>
      <c r="H2" s="2"/>
      <c r="I2" s="2"/>
      <c r="J2" s="2"/>
    </row>
    <row r="3" spans="1:10" ht="36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</row>
    <row r="4" spans="1:10" ht="36">
      <c r="A4" s="6"/>
      <c r="B4" s="7"/>
      <c r="C4" s="7"/>
      <c r="D4" s="7"/>
      <c r="E4" s="6"/>
      <c r="F4" s="6"/>
      <c r="G4" s="6"/>
      <c r="H4" s="6"/>
    </row>
    <row r="5" spans="1:10" ht="18.75">
      <c r="A5" s="8" t="s">
        <v>36</v>
      </c>
      <c r="B5" s="8"/>
      <c r="C5" s="8"/>
      <c r="D5" s="8"/>
      <c r="E5" s="8"/>
      <c r="F5" s="8"/>
      <c r="G5" s="8"/>
      <c r="H5" s="8"/>
    </row>
    <row r="6" spans="1:10">
      <c r="A6" s="2" t="s">
        <v>37</v>
      </c>
      <c r="B6" s="2"/>
      <c r="C6" s="2"/>
      <c r="D6" s="2"/>
      <c r="E6" s="2"/>
      <c r="F6" s="2"/>
      <c r="G6" s="2"/>
      <c r="H6" s="2"/>
    </row>
    <row r="7" spans="1:10">
      <c r="A7" s="2" t="s">
        <v>38</v>
      </c>
      <c r="B7" s="2"/>
      <c r="C7" s="2"/>
      <c r="D7" s="2"/>
      <c r="E7" s="2"/>
      <c r="F7" s="2"/>
      <c r="G7" s="2"/>
      <c r="H7" s="2"/>
    </row>
    <row r="8" spans="1:10">
      <c r="A8" s="2" t="s">
        <v>39</v>
      </c>
      <c r="B8" s="2"/>
      <c r="C8" s="2"/>
      <c r="D8" s="2"/>
      <c r="E8" s="2"/>
      <c r="F8" s="2"/>
      <c r="G8" s="2"/>
      <c r="H8" s="2"/>
    </row>
    <row r="9" spans="1:10" ht="15.75" thickBot="1">
      <c r="B9" s="4"/>
      <c r="C9" s="4"/>
      <c r="D9" s="4"/>
    </row>
    <row r="10" spans="1:10">
      <c r="A10" s="9" t="s">
        <v>8</v>
      </c>
      <c r="B10" s="11"/>
      <c r="C10" s="11"/>
      <c r="D10" s="11"/>
      <c r="E10" s="11"/>
      <c r="F10" s="11"/>
      <c r="G10" s="11"/>
      <c r="H10" s="12"/>
      <c r="I10" s="13">
        <v>45751</v>
      </c>
      <c r="J10" s="14"/>
    </row>
    <row r="11" spans="1:10" ht="16.5" thickBot="1">
      <c r="A11" s="15" t="s">
        <v>66</v>
      </c>
      <c r="I11" s="16" t="s">
        <v>10</v>
      </c>
      <c r="J11" s="17"/>
    </row>
    <row r="12" spans="1:10" ht="16.5" thickBot="1">
      <c r="A12" s="15" t="s">
        <v>67</v>
      </c>
      <c r="B12" s="136"/>
      <c r="C12" s="136"/>
      <c r="D12" s="136"/>
      <c r="I12" s="18"/>
      <c r="J12" s="19"/>
    </row>
    <row r="13" spans="1:10" ht="16.5" thickBot="1">
      <c r="A13" s="15" t="s">
        <v>68</v>
      </c>
      <c r="B13" s="29"/>
      <c r="C13" s="29"/>
      <c r="D13" s="29"/>
      <c r="I13" s="22" t="s">
        <v>69</v>
      </c>
      <c r="J13" s="17"/>
    </row>
    <row r="14" spans="1:10" ht="16.5" thickBot="1">
      <c r="A14" s="137" t="s">
        <v>70</v>
      </c>
      <c r="B14" s="28"/>
      <c r="C14" s="28"/>
      <c r="D14" s="28"/>
      <c r="E14" s="28"/>
      <c r="I14" s="24"/>
      <c r="J14" s="25"/>
    </row>
    <row r="15" spans="1:10" ht="15.75" thickBot="1">
      <c r="A15" s="138" t="s">
        <v>71</v>
      </c>
      <c r="B15" s="33"/>
      <c r="C15" s="33"/>
      <c r="D15" s="33"/>
      <c r="E15" s="34"/>
      <c r="F15" s="34"/>
      <c r="G15" s="34"/>
      <c r="H15" s="34"/>
      <c r="I15" s="34"/>
      <c r="J15" s="35"/>
    </row>
    <row r="16" spans="1:10" ht="15.75" thickBot="1">
      <c r="A16" s="109" t="s">
        <v>17</v>
      </c>
      <c r="B16" s="139" t="s">
        <v>18</v>
      </c>
      <c r="C16" s="140"/>
      <c r="D16" s="140"/>
      <c r="E16" s="141"/>
      <c r="F16" s="81"/>
      <c r="G16" s="81"/>
      <c r="H16" s="40"/>
      <c r="I16" s="40"/>
      <c r="J16" s="41"/>
    </row>
    <row r="17" spans="1:10" ht="15.75" thickBot="1">
      <c r="A17" s="142"/>
      <c r="B17" s="143" t="s">
        <v>72</v>
      </c>
      <c r="C17" s="144"/>
      <c r="D17" s="144"/>
      <c r="E17" s="145"/>
      <c r="F17" s="146" t="s">
        <v>73</v>
      </c>
      <c r="G17" s="141"/>
      <c r="H17" s="113" t="s">
        <v>74</v>
      </c>
      <c r="I17" s="141"/>
      <c r="J17" s="147" t="s">
        <v>75</v>
      </c>
    </row>
    <row r="18" spans="1:10" ht="15.75" thickBot="1">
      <c r="A18" s="148"/>
      <c r="B18" s="149" t="s">
        <v>76</v>
      </c>
      <c r="C18" s="150"/>
      <c r="D18" s="150"/>
      <c r="E18" s="151"/>
      <c r="F18" s="152" t="s">
        <v>77</v>
      </c>
      <c r="G18" s="120" t="s">
        <v>78</v>
      </c>
      <c r="H18" s="153" t="s">
        <v>77</v>
      </c>
      <c r="I18" s="120" t="s">
        <v>78</v>
      </c>
      <c r="J18" s="114" t="s">
        <v>79</v>
      </c>
    </row>
    <row r="19" spans="1:10">
      <c r="A19" s="148"/>
      <c r="B19" s="149"/>
      <c r="C19" s="150"/>
      <c r="D19" s="150"/>
      <c r="E19" s="154"/>
      <c r="F19" s="119"/>
      <c r="G19" s="119"/>
      <c r="H19" s="119"/>
      <c r="I19" s="120"/>
      <c r="J19" s="47"/>
    </row>
    <row r="20" spans="1:10">
      <c r="A20" s="148">
        <v>1</v>
      </c>
      <c r="B20" s="155" t="s">
        <v>80</v>
      </c>
      <c r="C20" s="156"/>
      <c r="D20" s="150"/>
      <c r="E20" s="154"/>
      <c r="F20" s="121">
        <v>1</v>
      </c>
      <c r="G20" s="121">
        <v>0</v>
      </c>
      <c r="H20" s="121">
        <v>11000</v>
      </c>
      <c r="I20" s="62">
        <v>0</v>
      </c>
      <c r="J20" s="62">
        <v>11000</v>
      </c>
    </row>
    <row r="21" spans="1:10">
      <c r="A21" s="148"/>
      <c r="B21" s="155" t="s">
        <v>81</v>
      </c>
      <c r="C21" s="156"/>
      <c r="D21" s="150"/>
      <c r="E21" s="154"/>
      <c r="F21" s="121"/>
      <c r="G21" s="121"/>
      <c r="H21" s="121"/>
      <c r="I21" s="62"/>
      <c r="J21" s="62"/>
    </row>
    <row r="22" spans="1:10">
      <c r="A22" s="148"/>
      <c r="B22" s="155" t="s">
        <v>82</v>
      </c>
      <c r="C22" s="156"/>
      <c r="D22" s="150"/>
      <c r="E22" s="154"/>
      <c r="F22" s="121"/>
      <c r="G22" s="121"/>
      <c r="H22" s="121"/>
      <c r="I22" s="62"/>
      <c r="J22" s="62"/>
    </row>
    <row r="23" spans="1:10">
      <c r="A23" s="148"/>
      <c r="B23" s="155"/>
      <c r="C23" s="156"/>
      <c r="D23" s="150"/>
      <c r="E23" s="154"/>
      <c r="F23" s="121"/>
      <c r="G23" s="121"/>
      <c r="H23" s="121"/>
      <c r="I23" s="62"/>
      <c r="J23" s="62"/>
    </row>
    <row r="24" spans="1:10">
      <c r="A24" s="148"/>
      <c r="B24" s="157" t="s">
        <v>83</v>
      </c>
      <c r="C24" s="156"/>
      <c r="D24" s="150"/>
      <c r="E24" s="154"/>
      <c r="F24" s="121"/>
      <c r="G24" s="121"/>
      <c r="H24" s="121"/>
      <c r="I24" s="62"/>
      <c r="J24" s="62"/>
    </row>
    <row r="25" spans="1:10">
      <c r="A25" s="148"/>
      <c r="B25" s="158" t="s">
        <v>84</v>
      </c>
      <c r="C25" s="159"/>
      <c r="D25" s="160" t="s">
        <v>85</v>
      </c>
      <c r="E25" s="161"/>
      <c r="F25" s="121"/>
      <c r="G25" s="121"/>
      <c r="H25" s="121"/>
      <c r="I25" s="62"/>
      <c r="J25" s="62"/>
    </row>
    <row r="26" spans="1:10">
      <c r="A26" s="148">
        <v>1</v>
      </c>
      <c r="B26" s="162" t="s">
        <v>86</v>
      </c>
      <c r="C26" s="163"/>
      <c r="D26" s="164" t="s">
        <v>87</v>
      </c>
      <c r="E26" s="165"/>
      <c r="F26" s="121"/>
      <c r="G26" s="121"/>
      <c r="H26" s="121"/>
      <c r="I26" s="62"/>
      <c r="J26" s="62"/>
    </row>
    <row r="27" spans="1:10">
      <c r="A27" s="148"/>
      <c r="B27" s="155"/>
      <c r="C27" s="156"/>
      <c r="D27" s="150"/>
      <c r="E27" s="154"/>
      <c r="F27" s="121"/>
      <c r="G27" s="121"/>
      <c r="H27" s="121"/>
      <c r="I27" s="62"/>
      <c r="J27" s="62"/>
    </row>
    <row r="28" spans="1:10">
      <c r="A28" s="148"/>
      <c r="B28" s="166"/>
      <c r="C28" s="21"/>
      <c r="D28" s="21"/>
      <c r="E28" s="167"/>
      <c r="F28" s="121"/>
      <c r="G28" s="121"/>
      <c r="H28" s="121"/>
      <c r="I28" s="62"/>
      <c r="J28" s="62"/>
    </row>
    <row r="29" spans="1:10">
      <c r="A29" s="148"/>
      <c r="B29" s="166" t="s">
        <v>88</v>
      </c>
      <c r="C29" s="21"/>
      <c r="D29" s="23"/>
      <c r="E29" s="51"/>
      <c r="F29" s="121"/>
      <c r="G29" s="121"/>
      <c r="H29" s="121"/>
      <c r="I29" s="62"/>
      <c r="J29" s="62"/>
    </row>
    <row r="30" spans="1:10" ht="15.75" thickBot="1">
      <c r="A30" s="36"/>
      <c r="B30" s="168"/>
      <c r="C30" s="169"/>
      <c r="D30" s="169"/>
      <c r="E30" s="77"/>
      <c r="F30" s="125"/>
      <c r="G30" s="125"/>
      <c r="H30" s="125"/>
      <c r="I30" s="79"/>
      <c r="J30" s="79"/>
    </row>
    <row r="31" spans="1:10" ht="15.75" thickBot="1">
      <c r="A31" s="29"/>
      <c r="B31" s="23"/>
      <c r="C31" s="23"/>
      <c r="D31" s="23"/>
      <c r="E31" s="29"/>
      <c r="F31" s="29"/>
      <c r="G31" s="29"/>
      <c r="H31" s="170"/>
      <c r="I31" s="170"/>
      <c r="J31" s="170"/>
    </row>
    <row r="32" spans="1:10">
      <c r="A32" s="171" t="s">
        <v>89</v>
      </c>
      <c r="B32" s="10"/>
      <c r="C32" s="10"/>
      <c r="D32" s="10"/>
      <c r="E32" s="11"/>
      <c r="F32" s="172"/>
      <c r="G32" s="172"/>
      <c r="H32" s="172"/>
      <c r="I32" s="172"/>
      <c r="J32" s="147">
        <f>SUM(J20:J30)</f>
        <v>11000</v>
      </c>
    </row>
    <row r="33" spans="1:10" ht="15.75" thickBot="1">
      <c r="A33" s="75"/>
      <c r="B33" s="169"/>
      <c r="C33" s="169"/>
      <c r="D33" s="169"/>
      <c r="E33" s="77"/>
      <c r="F33" s="131"/>
      <c r="G33" s="131"/>
      <c r="H33" s="131"/>
      <c r="I33" s="53"/>
      <c r="J33" s="79"/>
    </row>
    <row r="34" spans="1:10">
      <c r="A34" t="s">
        <v>25</v>
      </c>
      <c r="B34" s="23"/>
      <c r="C34" s="23"/>
      <c r="D34" s="23"/>
      <c r="E34" s="29"/>
      <c r="H34" s="24"/>
      <c r="I34" s="24"/>
      <c r="J34" s="24"/>
    </row>
    <row r="35" spans="1:10">
      <c r="A35" t="s">
        <v>26</v>
      </c>
      <c r="B35" s="4"/>
      <c r="C35" s="4"/>
      <c r="D35" s="86"/>
      <c r="E35" s="29"/>
      <c r="H35" s="24"/>
      <c r="I35" s="24"/>
      <c r="J35" s="24"/>
    </row>
    <row r="36" spans="1:10">
      <c r="A36" t="s">
        <v>27</v>
      </c>
      <c r="B36" s="4"/>
      <c r="C36" s="4"/>
      <c r="D36" s="4"/>
      <c r="G36" s="29"/>
      <c r="H36" s="87"/>
      <c r="I36" s="88"/>
      <c r="J36" s="89" t="s">
        <v>28</v>
      </c>
    </row>
    <row r="37" spans="1:10">
      <c r="A37" t="s">
        <v>29</v>
      </c>
      <c r="B37" s="4"/>
      <c r="C37" s="4"/>
      <c r="D37" s="4"/>
      <c r="E37" s="88"/>
      <c r="F37" s="88"/>
    </row>
    <row r="38" spans="1:10">
      <c r="A38" t="s">
        <v>30</v>
      </c>
      <c r="B38" s="4"/>
      <c r="C38" s="4"/>
      <c r="D38" s="86"/>
      <c r="E38" s="88"/>
      <c r="F38" s="88"/>
    </row>
    <row r="39" spans="1:10">
      <c r="A39" t="s">
        <v>31</v>
      </c>
      <c r="B39" s="4"/>
      <c r="C39" s="4"/>
      <c r="D39" s="4"/>
      <c r="H39" s="88"/>
      <c r="I39" s="88"/>
      <c r="J39" s="89" t="s">
        <v>32</v>
      </c>
    </row>
  </sheetData>
  <mergeCells count="11">
    <mergeCell ref="A7:H7"/>
    <mergeCell ref="A8:H8"/>
    <mergeCell ref="I10:J10"/>
    <mergeCell ref="I11:J11"/>
    <mergeCell ref="I13:J13"/>
    <mergeCell ref="A1:D1"/>
    <mergeCell ref="G1:J1"/>
    <mergeCell ref="G2:J2"/>
    <mergeCell ref="A3:J3"/>
    <mergeCell ref="A5:H5"/>
    <mergeCell ref="A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>
      <selection activeCell="N18" sqref="N18"/>
    </sheetView>
  </sheetViews>
  <sheetFormatPr defaultColWidth="9" defaultRowHeight="15"/>
  <cols>
    <col min="5" max="5" width="33.5703125" customWidth="1"/>
    <col min="6" max="6" width="8.42578125" customWidth="1"/>
    <col min="7" max="7" width="7" customWidth="1"/>
    <col min="8" max="8" width="7.85546875" customWidth="1"/>
    <col min="9" max="9" width="7.140625" customWidth="1"/>
  </cols>
  <sheetData>
    <row r="1" spans="1:10">
      <c r="A1" s="1" t="s">
        <v>0</v>
      </c>
      <c r="B1" s="1"/>
      <c r="C1" s="1"/>
      <c r="D1" s="1"/>
      <c r="G1" s="2" t="s">
        <v>64</v>
      </c>
      <c r="H1" s="2"/>
      <c r="I1" s="2"/>
      <c r="J1" s="2"/>
    </row>
    <row r="2" spans="1:10">
      <c r="A2" s="3"/>
      <c r="B2" s="4"/>
      <c r="C2" s="4"/>
      <c r="D2" s="4"/>
      <c r="G2" s="2" t="s">
        <v>65</v>
      </c>
      <c r="H2" s="2"/>
      <c r="I2" s="2"/>
      <c r="J2" s="2"/>
    </row>
    <row r="3" spans="1:10" ht="36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</row>
    <row r="4" spans="1:10" ht="36">
      <c r="A4" s="6"/>
      <c r="B4" s="7"/>
      <c r="C4" s="7"/>
      <c r="D4" s="7"/>
      <c r="E4" s="6"/>
      <c r="F4" s="6"/>
      <c r="G4" s="6"/>
      <c r="H4" s="6"/>
    </row>
    <row r="5" spans="1:10" ht="18.75">
      <c r="A5" s="8" t="s">
        <v>36</v>
      </c>
      <c r="B5" s="8"/>
      <c r="C5" s="8"/>
      <c r="D5" s="8"/>
      <c r="E5" s="8"/>
      <c r="F5" s="8"/>
      <c r="G5" s="8"/>
      <c r="H5" s="8"/>
    </row>
    <row r="6" spans="1:10">
      <c r="A6" s="2" t="s">
        <v>37</v>
      </c>
      <c r="B6" s="2"/>
      <c r="C6" s="2"/>
      <c r="D6" s="2"/>
      <c r="E6" s="2"/>
      <c r="F6" s="2"/>
      <c r="G6" s="2"/>
      <c r="H6" s="2"/>
    </row>
    <row r="7" spans="1:10">
      <c r="A7" s="2" t="s">
        <v>38</v>
      </c>
      <c r="B7" s="2"/>
      <c r="C7" s="2"/>
      <c r="D7" s="2"/>
      <c r="E7" s="2"/>
      <c r="F7" s="2"/>
      <c r="G7" s="2"/>
      <c r="H7" s="2"/>
    </row>
    <row r="8" spans="1:10">
      <c r="A8" s="2" t="s">
        <v>39</v>
      </c>
      <c r="B8" s="2"/>
      <c r="C8" s="2"/>
      <c r="D8" s="2"/>
      <c r="E8" s="2"/>
      <c r="F8" s="2"/>
      <c r="G8" s="2"/>
      <c r="H8" s="2"/>
    </row>
    <row r="9" spans="1:10" ht="15.75" thickBot="1">
      <c r="B9" s="4"/>
      <c r="C9" s="4"/>
      <c r="D9" s="4"/>
    </row>
    <row r="10" spans="1:10">
      <c r="A10" s="9" t="s">
        <v>8</v>
      </c>
      <c r="B10" s="10"/>
      <c r="C10" s="10"/>
      <c r="D10" s="10"/>
      <c r="E10" s="11"/>
      <c r="F10" s="11"/>
      <c r="G10" s="11"/>
      <c r="H10" s="12"/>
      <c r="I10" s="173" t="s">
        <v>90</v>
      </c>
      <c r="J10" s="14"/>
    </row>
    <row r="11" spans="1:10" ht="16.5" thickBot="1">
      <c r="A11" s="15" t="s">
        <v>91</v>
      </c>
      <c r="B11" s="4"/>
      <c r="C11" s="4"/>
      <c r="D11" s="4"/>
      <c r="I11" s="174">
        <v>45751</v>
      </c>
      <c r="J11" s="175"/>
    </row>
    <row r="12" spans="1:10" ht="16.5" thickBot="1">
      <c r="A12" s="15" t="s">
        <v>92</v>
      </c>
      <c r="B12" s="23"/>
      <c r="C12" s="23"/>
      <c r="D12" s="23"/>
      <c r="I12" s="22" t="s">
        <v>93</v>
      </c>
      <c r="J12" s="17"/>
    </row>
    <row r="13" spans="1:10" ht="16.5" thickBot="1">
      <c r="A13" s="137" t="s">
        <v>94</v>
      </c>
      <c r="B13" s="27"/>
      <c r="C13" s="27"/>
      <c r="D13" s="27"/>
      <c r="E13" s="28"/>
      <c r="I13" s="29"/>
      <c r="J13" s="30"/>
    </row>
    <row r="14" spans="1:10" ht="15.75" thickBot="1">
      <c r="A14" s="176" t="s">
        <v>71</v>
      </c>
      <c r="B14" s="177"/>
      <c r="C14" s="177"/>
      <c r="D14" s="33"/>
      <c r="E14" s="34"/>
      <c r="F14" s="34"/>
      <c r="G14" s="34"/>
      <c r="H14" s="34"/>
      <c r="I14" s="34"/>
      <c r="J14" s="35"/>
    </row>
    <row r="15" spans="1:10" ht="15.75" thickBot="1">
      <c r="A15" s="109" t="s">
        <v>17</v>
      </c>
      <c r="B15" s="139" t="s">
        <v>18</v>
      </c>
      <c r="C15" s="140"/>
      <c r="D15" s="140"/>
      <c r="E15" s="141"/>
      <c r="F15" s="81"/>
      <c r="G15" s="81"/>
      <c r="H15" s="40"/>
      <c r="I15" s="40"/>
      <c r="J15" s="41"/>
    </row>
    <row r="16" spans="1:10" ht="15.75" thickBot="1">
      <c r="A16" s="142"/>
      <c r="B16" s="143" t="s">
        <v>95</v>
      </c>
      <c r="C16" s="144"/>
      <c r="D16" s="144"/>
      <c r="E16" s="145"/>
      <c r="F16" s="146" t="s">
        <v>73</v>
      </c>
      <c r="G16" s="141"/>
      <c r="H16" s="113" t="s">
        <v>74</v>
      </c>
      <c r="I16" s="141"/>
      <c r="J16" s="147" t="s">
        <v>75</v>
      </c>
    </row>
    <row r="17" spans="1:17" ht="15.75" thickBot="1">
      <c r="A17" s="148"/>
      <c r="B17" s="149" t="s">
        <v>76</v>
      </c>
      <c r="C17" s="150"/>
      <c r="D17" s="150"/>
      <c r="E17" s="151"/>
      <c r="F17" s="178" t="s">
        <v>77</v>
      </c>
      <c r="G17" s="179" t="s">
        <v>78</v>
      </c>
      <c r="H17" s="180" t="s">
        <v>77</v>
      </c>
      <c r="I17" s="179" t="s">
        <v>78</v>
      </c>
      <c r="J17" s="114" t="s">
        <v>79</v>
      </c>
    </row>
    <row r="18" spans="1:17">
      <c r="A18" s="148"/>
      <c r="B18" s="155" t="s">
        <v>96</v>
      </c>
      <c r="C18" s="156"/>
      <c r="D18" s="150"/>
      <c r="E18" s="151"/>
      <c r="F18" s="181">
        <v>1</v>
      </c>
      <c r="G18" s="170">
        <v>0</v>
      </c>
      <c r="H18" s="182">
        <v>8500</v>
      </c>
      <c r="I18" s="62">
        <v>0</v>
      </c>
      <c r="J18" s="62">
        <f>I18*G18+H18*F18</f>
        <v>8500</v>
      </c>
    </row>
    <row r="19" spans="1:17">
      <c r="A19" s="148"/>
      <c r="B19" s="155" t="s">
        <v>97</v>
      </c>
      <c r="C19" s="156"/>
      <c r="D19" s="150"/>
      <c r="E19" s="151"/>
      <c r="F19" s="181"/>
      <c r="G19" s="170"/>
      <c r="H19" s="182"/>
      <c r="I19" s="62"/>
      <c r="J19" s="62"/>
    </row>
    <row r="20" spans="1:17">
      <c r="A20" s="148"/>
      <c r="B20" s="155" t="s">
        <v>98</v>
      </c>
      <c r="C20" s="156"/>
      <c r="D20" s="150"/>
      <c r="E20" s="151"/>
      <c r="F20" s="181"/>
      <c r="G20" s="170"/>
      <c r="H20" s="182"/>
      <c r="I20" s="62"/>
      <c r="J20" s="62"/>
    </row>
    <row r="21" spans="1:17">
      <c r="A21" s="148"/>
      <c r="B21" s="155"/>
      <c r="C21" s="156"/>
      <c r="D21" s="150"/>
      <c r="E21" s="151"/>
      <c r="F21" s="181"/>
      <c r="G21" s="170"/>
      <c r="H21" s="182"/>
      <c r="I21" s="62"/>
      <c r="J21" s="62"/>
    </row>
    <row r="22" spans="1:17">
      <c r="A22" s="148"/>
      <c r="B22" s="155"/>
      <c r="C22" s="156"/>
      <c r="D22" s="150"/>
      <c r="E22" s="151"/>
      <c r="F22" s="181"/>
      <c r="G22" s="170"/>
      <c r="H22" s="182"/>
      <c r="I22" s="62"/>
      <c r="J22" s="62"/>
    </row>
    <row r="23" spans="1:17">
      <c r="A23" s="148"/>
      <c r="B23" s="183" t="s">
        <v>99</v>
      </c>
      <c r="C23" s="23"/>
      <c r="D23" s="23"/>
      <c r="E23" s="184"/>
      <c r="F23" s="181"/>
      <c r="G23" s="170"/>
      <c r="H23" s="182"/>
      <c r="I23" s="62"/>
      <c r="J23" s="62"/>
      <c r="Q23" t="s">
        <v>10</v>
      </c>
    </row>
    <row r="24" spans="1:17">
      <c r="A24" s="148"/>
      <c r="B24" s="183"/>
      <c r="C24" s="23"/>
      <c r="D24" s="23"/>
      <c r="E24" s="184"/>
      <c r="F24" s="181"/>
      <c r="G24" s="170"/>
      <c r="H24" s="182"/>
      <c r="I24" s="62"/>
      <c r="J24" s="62"/>
    </row>
    <row r="25" spans="1:17">
      <c r="A25" s="148"/>
      <c r="B25" s="185" t="s">
        <v>100</v>
      </c>
      <c r="C25" s="23"/>
      <c r="D25" s="23"/>
      <c r="E25" s="184"/>
      <c r="F25" s="186"/>
      <c r="G25" s="170"/>
      <c r="H25" s="182"/>
      <c r="I25" s="62"/>
      <c r="J25" s="62"/>
    </row>
    <row r="26" spans="1:17">
      <c r="A26" s="148"/>
      <c r="B26" s="158" t="s">
        <v>84</v>
      </c>
      <c r="C26" s="159"/>
      <c r="D26" s="160" t="s">
        <v>85</v>
      </c>
      <c r="E26" s="184"/>
      <c r="F26" s="186"/>
      <c r="G26" s="170"/>
      <c r="H26" s="182"/>
      <c r="I26" s="62"/>
      <c r="J26" s="62"/>
    </row>
    <row r="27" spans="1:17">
      <c r="A27" s="148">
        <v>1</v>
      </c>
      <c r="B27" s="162" t="s">
        <v>101</v>
      </c>
      <c r="C27" s="163"/>
      <c r="D27" s="164" t="s">
        <v>102</v>
      </c>
      <c r="E27" s="187"/>
      <c r="F27" s="181"/>
      <c r="G27" s="170"/>
      <c r="H27" s="182"/>
      <c r="I27" s="62"/>
      <c r="J27" s="62"/>
    </row>
    <row r="28" spans="1:17">
      <c r="A28" s="148"/>
      <c r="B28" s="188"/>
      <c r="C28" s="159"/>
      <c r="D28" s="163"/>
      <c r="E28" s="187"/>
      <c r="F28" s="181"/>
      <c r="G28" s="170"/>
      <c r="H28" s="182"/>
      <c r="I28" s="62"/>
      <c r="J28" s="62"/>
    </row>
    <row r="29" spans="1:17">
      <c r="A29" s="148"/>
      <c r="B29" s="188"/>
      <c r="C29" s="159"/>
      <c r="D29" s="163"/>
      <c r="E29" s="187"/>
      <c r="F29" s="181"/>
      <c r="G29" s="170"/>
      <c r="H29" s="182"/>
      <c r="I29" s="62"/>
      <c r="J29" s="62"/>
    </row>
    <row r="30" spans="1:17">
      <c r="A30" s="148"/>
      <c r="B30" s="188"/>
      <c r="C30" s="159"/>
      <c r="D30" s="163"/>
      <c r="E30" s="187"/>
      <c r="F30" s="181"/>
      <c r="G30" s="170"/>
      <c r="H30" s="182"/>
      <c r="I30" s="62"/>
      <c r="J30" s="62"/>
    </row>
    <row r="31" spans="1:17">
      <c r="A31" s="148"/>
      <c r="B31" s="162"/>
      <c r="C31" s="163"/>
      <c r="D31" s="163"/>
      <c r="E31" s="187"/>
      <c r="F31" s="181"/>
      <c r="G31" s="170"/>
      <c r="H31" s="182"/>
      <c r="I31" s="62"/>
      <c r="J31" s="62"/>
    </row>
    <row r="32" spans="1:17">
      <c r="A32" s="148"/>
      <c r="B32" s="189" t="s">
        <v>103</v>
      </c>
      <c r="C32" s="21"/>
      <c r="D32" s="23"/>
      <c r="E32" s="30"/>
      <c r="F32" s="181"/>
      <c r="G32" s="170"/>
      <c r="H32" s="182"/>
      <c r="I32" s="62"/>
      <c r="J32" s="62"/>
    </row>
    <row r="33" spans="1:10" ht="15.75" thickBot="1">
      <c r="A33" s="36"/>
      <c r="B33" s="168"/>
      <c r="C33" s="169"/>
      <c r="D33" s="169"/>
      <c r="E33" s="78"/>
      <c r="F33" s="190"/>
      <c r="G33" s="53"/>
      <c r="H33" s="191"/>
      <c r="I33" s="79"/>
      <c r="J33" s="79"/>
    </row>
    <row r="34" spans="1:10" ht="15.75" thickBot="1">
      <c r="A34" s="29"/>
      <c r="B34" s="23"/>
      <c r="C34" s="23"/>
      <c r="D34" s="23"/>
      <c r="E34" s="29"/>
      <c r="F34" s="29"/>
      <c r="G34" s="29"/>
      <c r="H34" s="170"/>
      <c r="I34" s="170"/>
      <c r="J34" s="170"/>
    </row>
    <row r="35" spans="1:10">
      <c r="A35" s="171" t="s">
        <v>104</v>
      </c>
      <c r="B35" s="10"/>
      <c r="C35" s="10"/>
      <c r="D35" s="10"/>
      <c r="E35" s="11"/>
      <c r="F35" s="172"/>
      <c r="G35" s="172"/>
      <c r="H35" s="172"/>
      <c r="I35" s="172"/>
      <c r="J35" s="147">
        <f>SUM(J18:J33)</f>
        <v>8500</v>
      </c>
    </row>
    <row r="36" spans="1:10" ht="15.75" thickBot="1">
      <c r="A36" s="75"/>
      <c r="B36" s="169"/>
      <c r="C36" s="169"/>
      <c r="D36" s="169"/>
      <c r="E36" s="77"/>
      <c r="F36" s="131"/>
      <c r="G36" s="131"/>
      <c r="H36" s="131"/>
      <c r="I36" s="53"/>
      <c r="J36" s="79"/>
    </row>
    <row r="37" spans="1:10">
      <c r="A37" t="s">
        <v>25</v>
      </c>
      <c r="B37" s="23"/>
      <c r="C37" s="23"/>
      <c r="D37" s="23"/>
      <c r="E37" s="29"/>
      <c r="H37" s="24"/>
      <c r="I37" s="24"/>
      <c r="J37" s="24"/>
    </row>
    <row r="38" spans="1:10">
      <c r="A38" t="s">
        <v>26</v>
      </c>
      <c r="B38" s="4"/>
      <c r="C38" s="4"/>
      <c r="D38" s="86"/>
      <c r="E38" s="29"/>
      <c r="H38" s="24"/>
      <c r="I38" s="24"/>
      <c r="J38" s="24"/>
    </row>
    <row r="39" spans="1:10">
      <c r="A39" t="s">
        <v>27</v>
      </c>
      <c r="B39" s="4"/>
      <c r="C39" s="4"/>
      <c r="D39" s="4"/>
      <c r="G39" s="29"/>
      <c r="H39" s="87"/>
      <c r="I39" s="88"/>
      <c r="J39" s="89" t="s">
        <v>28</v>
      </c>
    </row>
    <row r="40" spans="1:10">
      <c r="A40" t="s">
        <v>29</v>
      </c>
      <c r="B40" s="4"/>
      <c r="C40" s="4"/>
      <c r="D40" s="4"/>
      <c r="E40" s="88"/>
      <c r="F40" s="88"/>
    </row>
    <row r="41" spans="1:10">
      <c r="A41" t="s">
        <v>30</v>
      </c>
      <c r="B41" s="4"/>
      <c r="C41" s="4"/>
      <c r="D41" s="86"/>
      <c r="E41" s="88"/>
      <c r="F41" s="88"/>
    </row>
    <row r="42" spans="1:10">
      <c r="A42" t="s">
        <v>31</v>
      </c>
      <c r="B42" s="4"/>
      <c r="C42" s="4"/>
      <c r="D42" s="4"/>
      <c r="H42" s="88"/>
      <c r="I42" s="88"/>
      <c r="J42" s="89" t="s">
        <v>32</v>
      </c>
    </row>
  </sheetData>
  <mergeCells count="12">
    <mergeCell ref="A7:H7"/>
    <mergeCell ref="A8:H8"/>
    <mergeCell ref="I10:J10"/>
    <mergeCell ref="I11:J11"/>
    <mergeCell ref="I12:J12"/>
    <mergeCell ref="A14:C14"/>
    <mergeCell ref="A1:D1"/>
    <mergeCell ref="G1:J1"/>
    <mergeCell ref="G2:J2"/>
    <mergeCell ref="A3:J3"/>
    <mergeCell ref="A5:H5"/>
    <mergeCell ref="A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selection activeCell="O18" sqref="O18"/>
    </sheetView>
  </sheetViews>
  <sheetFormatPr defaultColWidth="9" defaultRowHeight="15"/>
  <cols>
    <col min="1" max="1" width="5.5703125" customWidth="1"/>
    <col min="5" max="5" width="35.42578125" customWidth="1"/>
    <col min="6" max="6" width="5.140625" customWidth="1"/>
    <col min="7" max="7" width="4.7109375" customWidth="1"/>
    <col min="8" max="8" width="7.7109375" customWidth="1"/>
    <col min="9" max="9" width="12.140625" customWidth="1"/>
    <col min="10" max="10" width="7.85546875" customWidth="1"/>
  </cols>
  <sheetData>
    <row r="1" spans="1:10">
      <c r="A1" s="1" t="s">
        <v>0</v>
      </c>
      <c r="B1" s="1"/>
      <c r="C1" s="1"/>
      <c r="D1" s="1"/>
      <c r="E1" s="192"/>
      <c r="G1" s="193" t="s">
        <v>64</v>
      </c>
      <c r="H1" s="193"/>
      <c r="I1" s="193"/>
      <c r="J1" s="193"/>
    </row>
    <row r="2" spans="1:10">
      <c r="A2" s="3"/>
      <c r="B2" s="3"/>
      <c r="C2" s="3"/>
      <c r="D2" s="192"/>
      <c r="E2" s="192"/>
      <c r="G2" s="193" t="s">
        <v>65</v>
      </c>
      <c r="H2" s="193"/>
      <c r="I2" s="193"/>
      <c r="J2" s="193"/>
    </row>
    <row r="3" spans="1:10" ht="36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</row>
    <row r="4" spans="1:10" ht="18.75">
      <c r="A4" s="8" t="s">
        <v>105</v>
      </c>
      <c r="B4" s="8"/>
      <c r="C4" s="8"/>
      <c r="D4" s="8"/>
      <c r="E4" s="8"/>
      <c r="F4" s="8"/>
      <c r="G4" s="8"/>
      <c r="H4" s="8"/>
    </row>
    <row r="5" spans="1:10">
      <c r="A5" s="2" t="s">
        <v>106</v>
      </c>
      <c r="B5" s="2"/>
      <c r="C5" s="2"/>
      <c r="D5" s="2"/>
      <c r="E5" s="2"/>
      <c r="F5" s="2"/>
      <c r="G5" s="2"/>
      <c r="H5" s="2"/>
    </row>
    <row r="6" spans="1:10">
      <c r="A6" s="2" t="s">
        <v>107</v>
      </c>
      <c r="B6" s="2"/>
      <c r="C6" s="2"/>
      <c r="D6" s="2"/>
      <c r="E6" s="2"/>
      <c r="F6" s="2"/>
      <c r="G6" s="2"/>
      <c r="H6" s="2"/>
    </row>
    <row r="7" spans="1:10">
      <c r="A7" s="2" t="s">
        <v>108</v>
      </c>
      <c r="B7" s="2"/>
      <c r="C7" s="2"/>
      <c r="D7" s="2"/>
      <c r="E7" s="2"/>
      <c r="F7" s="2"/>
      <c r="G7" s="2"/>
      <c r="H7" s="2"/>
    </row>
    <row r="8" spans="1:10">
      <c r="D8" s="192"/>
      <c r="E8" s="192"/>
    </row>
    <row r="9" spans="1:10" ht="15.75" thickBot="1">
      <c r="A9" s="194"/>
      <c r="B9" s="194"/>
      <c r="C9" s="194"/>
      <c r="D9" s="195"/>
      <c r="E9" s="195"/>
      <c r="F9" s="194"/>
      <c r="G9" s="194"/>
      <c r="H9" s="194"/>
      <c r="I9" s="194"/>
      <c r="J9" s="194"/>
    </row>
    <row r="10" spans="1:10" ht="15.75" thickBot="1">
      <c r="A10" s="9" t="s">
        <v>8</v>
      </c>
      <c r="B10" s="11"/>
      <c r="C10" s="11"/>
      <c r="D10" s="11"/>
      <c r="E10" s="11"/>
      <c r="F10" s="11"/>
      <c r="G10" s="11"/>
      <c r="H10" s="95"/>
      <c r="I10" s="110"/>
      <c r="J10" s="96"/>
    </row>
    <row r="11" spans="1:10" ht="15.75" thickBot="1">
      <c r="A11" s="56" t="s">
        <v>109</v>
      </c>
      <c r="B11" s="29"/>
      <c r="C11" s="29"/>
      <c r="D11" s="29"/>
      <c r="E11" s="29"/>
      <c r="F11" s="29"/>
      <c r="G11" s="29"/>
      <c r="H11" s="196" t="s">
        <v>110</v>
      </c>
      <c r="I11" s="197">
        <v>45755</v>
      </c>
      <c r="J11" s="198"/>
    </row>
    <row r="12" spans="1:10" ht="15.75" thickBot="1">
      <c r="A12" s="56" t="s">
        <v>111</v>
      </c>
      <c r="B12" s="29"/>
      <c r="C12" s="29"/>
      <c r="D12" s="29"/>
      <c r="E12" s="29"/>
      <c r="F12" s="29"/>
      <c r="G12" s="29"/>
      <c r="H12" s="101" t="s">
        <v>112</v>
      </c>
      <c r="I12" s="80">
        <v>12</v>
      </c>
      <c r="J12" s="199"/>
    </row>
    <row r="13" spans="1:10" ht="15.75" thickBot="1">
      <c r="A13" s="56" t="s">
        <v>113</v>
      </c>
      <c r="B13" s="29"/>
      <c r="C13" s="29"/>
      <c r="D13" s="29"/>
      <c r="E13" s="29"/>
      <c r="F13" s="29"/>
      <c r="G13" s="29"/>
      <c r="H13" s="97" t="s">
        <v>46</v>
      </c>
      <c r="I13" s="80" t="s">
        <v>47</v>
      </c>
      <c r="J13" s="199"/>
    </row>
    <row r="14" spans="1:10" ht="15.75" thickBot="1">
      <c r="A14" s="56" t="s">
        <v>114</v>
      </c>
      <c r="B14" s="29"/>
      <c r="C14" s="29"/>
      <c r="D14" s="29"/>
      <c r="E14" s="29"/>
      <c r="F14" s="29"/>
      <c r="G14" s="29"/>
      <c r="H14" s="200" t="s">
        <v>115</v>
      </c>
      <c r="I14" s="201" t="s">
        <v>116</v>
      </c>
      <c r="J14" s="202"/>
    </row>
    <row r="15" spans="1:10" ht="15.75" thickBot="1">
      <c r="A15" s="75" t="s">
        <v>117</v>
      </c>
      <c r="B15" s="77"/>
      <c r="C15" s="77"/>
      <c r="D15" s="77"/>
      <c r="E15" s="77"/>
      <c r="F15" s="77"/>
      <c r="G15" s="77"/>
      <c r="H15" s="105"/>
      <c r="I15" s="53"/>
      <c r="J15" s="79"/>
    </row>
    <row r="16" spans="1:10" ht="15.75" thickBot="1">
      <c r="A16" s="95" t="s">
        <v>118</v>
      </c>
      <c r="B16" s="110"/>
      <c r="C16" s="110"/>
      <c r="D16" s="110"/>
      <c r="E16" s="110"/>
      <c r="F16" s="110"/>
      <c r="G16" s="110"/>
      <c r="H16" s="110"/>
      <c r="I16" s="110"/>
      <c r="J16" s="96"/>
    </row>
    <row r="17" spans="1:10" ht="15.75" thickBot="1">
      <c r="A17" s="109" t="s">
        <v>17</v>
      </c>
      <c r="B17" s="109" t="s">
        <v>18</v>
      </c>
      <c r="C17" s="146"/>
      <c r="D17" s="146"/>
      <c r="E17" s="141"/>
      <c r="F17" s="81"/>
      <c r="G17" s="81"/>
      <c r="H17" s="40"/>
      <c r="I17" s="40"/>
      <c r="J17" s="41"/>
    </row>
    <row r="18" spans="1:10" ht="15.75" thickBot="1">
      <c r="A18" s="142"/>
      <c r="B18" s="203" t="s">
        <v>119</v>
      </c>
      <c r="C18" s="204"/>
      <c r="D18" s="204"/>
      <c r="E18" s="145"/>
      <c r="F18" s="146" t="s">
        <v>73</v>
      </c>
      <c r="G18" s="141"/>
      <c r="H18" s="113" t="s">
        <v>74</v>
      </c>
      <c r="I18" s="141"/>
      <c r="J18" s="147" t="s">
        <v>75</v>
      </c>
    </row>
    <row r="19" spans="1:10" ht="15.75" thickBot="1">
      <c r="A19" s="148"/>
      <c r="B19" s="205" t="s">
        <v>76</v>
      </c>
      <c r="C19" s="206"/>
      <c r="D19" s="206"/>
      <c r="E19" s="151"/>
      <c r="F19" s="178" t="s">
        <v>77</v>
      </c>
      <c r="G19" s="120" t="s">
        <v>78</v>
      </c>
      <c r="H19" s="153" t="s">
        <v>77</v>
      </c>
      <c r="I19" s="120" t="s">
        <v>78</v>
      </c>
      <c r="J19" s="207" t="s">
        <v>79</v>
      </c>
    </row>
    <row r="20" spans="1:10">
      <c r="A20" s="148">
        <v>1</v>
      </c>
      <c r="B20" s="208" t="s">
        <v>120</v>
      </c>
      <c r="C20" s="209"/>
      <c r="D20" s="210"/>
      <c r="E20" s="151"/>
      <c r="F20" s="12">
        <v>0</v>
      </c>
      <c r="G20" s="211">
        <v>1</v>
      </c>
      <c r="H20" s="211">
        <v>0</v>
      </c>
      <c r="I20" s="211">
        <v>28000</v>
      </c>
      <c r="J20" s="211">
        <v>28000</v>
      </c>
    </row>
    <row r="21" spans="1:10">
      <c r="A21" s="148"/>
      <c r="B21" s="212" t="s">
        <v>121</v>
      </c>
      <c r="C21" s="209"/>
      <c r="D21" s="210"/>
      <c r="E21" s="151"/>
      <c r="F21" s="170"/>
      <c r="G21" s="121"/>
      <c r="H21" s="121"/>
      <c r="I21" s="121"/>
      <c r="J21" s="121"/>
    </row>
    <row r="22" spans="1:10">
      <c r="A22" s="148"/>
      <c r="B22" s="213" t="s">
        <v>122</v>
      </c>
      <c r="C22" s="214"/>
      <c r="D22" s="214"/>
      <c r="E22" s="215"/>
      <c r="F22" s="170"/>
      <c r="G22" s="121"/>
      <c r="H22" s="121"/>
      <c r="I22" s="121"/>
      <c r="J22" s="121"/>
    </row>
    <row r="23" spans="1:10">
      <c r="A23" s="148"/>
      <c r="B23" s="216"/>
      <c r="C23" s="217"/>
      <c r="D23" s="217"/>
      <c r="E23" s="184"/>
      <c r="F23" s="170"/>
      <c r="G23" s="121"/>
      <c r="H23" s="121"/>
      <c r="I23" s="121"/>
      <c r="J23" s="121"/>
    </row>
    <row r="24" spans="1:10">
      <c r="A24" s="148"/>
      <c r="B24" s="216" t="s">
        <v>123</v>
      </c>
      <c r="C24" s="217"/>
      <c r="D24" s="217"/>
      <c r="E24" s="184"/>
      <c r="F24" s="170"/>
      <c r="G24" s="121"/>
      <c r="H24" s="121"/>
      <c r="I24" s="121"/>
      <c r="J24" s="121">
        <v>15000</v>
      </c>
    </row>
    <row r="25" spans="1:10">
      <c r="A25" s="148"/>
      <c r="B25" s="216"/>
      <c r="C25" s="217"/>
      <c r="D25" s="217"/>
      <c r="E25" s="184"/>
      <c r="F25" s="170"/>
      <c r="G25" s="121"/>
      <c r="H25" s="121"/>
      <c r="I25" s="121"/>
      <c r="J25" s="121"/>
    </row>
    <row r="26" spans="1:10">
      <c r="A26" s="148"/>
      <c r="B26" s="216"/>
      <c r="C26" s="217"/>
      <c r="D26" s="217"/>
      <c r="E26" s="184"/>
      <c r="F26" s="170"/>
      <c r="G26" s="121"/>
      <c r="H26" s="121"/>
      <c r="I26" s="121"/>
      <c r="J26" s="121"/>
    </row>
    <row r="27" spans="1:10">
      <c r="A27" s="148"/>
      <c r="B27" s="148" t="s">
        <v>124</v>
      </c>
      <c r="C27" s="29"/>
      <c r="D27" s="217"/>
      <c r="E27" s="184"/>
      <c r="F27" s="170"/>
      <c r="G27" s="121"/>
      <c r="H27" s="121"/>
      <c r="I27" s="121"/>
      <c r="J27" s="121"/>
    </row>
    <row r="28" spans="1:10">
      <c r="A28" s="148">
        <v>1</v>
      </c>
      <c r="B28" s="56" t="s">
        <v>125</v>
      </c>
      <c r="C28" s="29"/>
      <c r="D28" s="217"/>
      <c r="E28" s="184"/>
      <c r="F28" s="170"/>
      <c r="G28" s="121"/>
      <c r="H28" s="121"/>
      <c r="I28" s="121"/>
      <c r="J28" s="121"/>
    </row>
    <row r="29" spans="1:10">
      <c r="A29" s="148"/>
      <c r="B29" s="56"/>
      <c r="C29" s="29"/>
      <c r="D29" s="217"/>
      <c r="E29" s="184"/>
      <c r="F29" s="170"/>
      <c r="G29" s="121"/>
      <c r="H29" s="121"/>
      <c r="I29" s="121"/>
      <c r="J29" s="121"/>
    </row>
    <row r="30" spans="1:10">
      <c r="A30" s="148"/>
      <c r="B30" s="56"/>
      <c r="C30" s="29"/>
      <c r="D30" s="217"/>
      <c r="E30" s="30"/>
      <c r="F30" s="170"/>
      <c r="G30" s="121"/>
      <c r="H30" s="121"/>
      <c r="I30" s="121"/>
      <c r="J30" s="121"/>
    </row>
    <row r="31" spans="1:10" ht="15.75" thickBot="1">
      <c r="A31" s="36"/>
      <c r="B31" s="218"/>
      <c r="C31" s="77"/>
      <c r="D31" s="77"/>
      <c r="E31" s="78"/>
      <c r="F31" s="170"/>
      <c r="G31" s="121"/>
      <c r="H31" s="121"/>
      <c r="I31" s="121"/>
      <c r="J31" s="121"/>
    </row>
    <row r="32" spans="1:10" ht="15.75" thickBot="1">
      <c r="A32" s="29"/>
      <c r="B32" s="29"/>
      <c r="C32" s="29"/>
      <c r="D32" s="29"/>
      <c r="E32" s="29"/>
      <c r="F32" s="126"/>
      <c r="G32" s="219"/>
      <c r="H32" s="220"/>
      <c r="I32" s="220"/>
      <c r="J32" s="220"/>
    </row>
    <row r="33" spans="1:10">
      <c r="A33" s="171" t="s">
        <v>126</v>
      </c>
      <c r="B33" s="10"/>
      <c r="C33" s="10"/>
      <c r="D33" s="10"/>
      <c r="E33" s="11"/>
      <c r="F33" s="172"/>
      <c r="G33" s="172"/>
      <c r="H33" s="172"/>
      <c r="I33" s="172"/>
      <c r="J33" s="147">
        <f>J20-J24</f>
        <v>13000</v>
      </c>
    </row>
    <row r="34" spans="1:10" ht="15.75" thickBot="1">
      <c r="A34" s="75"/>
      <c r="B34" s="77"/>
      <c r="C34" s="77"/>
      <c r="D34" s="77"/>
      <c r="E34" s="77"/>
      <c r="F34" s="131"/>
      <c r="G34" s="131"/>
      <c r="H34" s="131"/>
      <c r="I34" s="53"/>
      <c r="J34" s="79"/>
    </row>
    <row r="35" spans="1:10">
      <c r="A35" t="s">
        <v>25</v>
      </c>
      <c r="B35" s="29"/>
      <c r="C35" s="29"/>
      <c r="D35" s="29"/>
      <c r="E35" s="29"/>
      <c r="H35" s="24"/>
      <c r="I35" s="24"/>
      <c r="J35" s="24"/>
    </row>
    <row r="36" spans="1:10">
      <c r="A36" t="s">
        <v>26</v>
      </c>
      <c r="D36" s="88"/>
      <c r="E36" s="29"/>
      <c r="H36" s="24"/>
      <c r="I36" s="24"/>
      <c r="J36" s="24"/>
    </row>
    <row r="37" spans="1:10">
      <c r="A37" t="s">
        <v>27</v>
      </c>
      <c r="G37" s="29"/>
      <c r="H37" s="87"/>
      <c r="I37" s="88"/>
      <c r="J37" s="89" t="s">
        <v>127</v>
      </c>
    </row>
    <row r="38" spans="1:10">
      <c r="A38" t="s">
        <v>29</v>
      </c>
      <c r="E38" s="88"/>
      <c r="F38" s="88"/>
    </row>
    <row r="39" spans="1:10">
      <c r="A39" t="s">
        <v>30</v>
      </c>
      <c r="D39" s="88"/>
      <c r="E39" s="88"/>
      <c r="F39" s="88"/>
    </row>
    <row r="40" spans="1:10">
      <c r="A40" t="s">
        <v>31</v>
      </c>
      <c r="H40" s="88"/>
      <c r="I40" s="88"/>
      <c r="J40" s="89" t="s">
        <v>32</v>
      </c>
    </row>
  </sheetData>
  <mergeCells count="12">
    <mergeCell ref="A6:H6"/>
    <mergeCell ref="A7:H7"/>
    <mergeCell ref="H10:J10"/>
    <mergeCell ref="I14:J14"/>
    <mergeCell ref="A16:J16"/>
    <mergeCell ref="B22:E22"/>
    <mergeCell ref="A1:D1"/>
    <mergeCell ref="G1:J1"/>
    <mergeCell ref="G2:J2"/>
    <mergeCell ref="A3:J3"/>
    <mergeCell ref="A4:H4"/>
    <mergeCell ref="A5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>
      <selection activeCell="L24" sqref="L24"/>
    </sheetView>
  </sheetViews>
  <sheetFormatPr defaultRowHeight="15"/>
  <sheetData>
    <row r="1" spans="1:10">
      <c r="A1" s="1" t="s">
        <v>0</v>
      </c>
      <c r="B1" s="1"/>
      <c r="C1" s="1"/>
      <c r="D1" s="1"/>
      <c r="G1" s="2" t="s">
        <v>64</v>
      </c>
      <c r="H1" s="2"/>
      <c r="I1" s="2"/>
      <c r="J1" s="2"/>
    </row>
    <row r="2" spans="1:10">
      <c r="A2" s="3"/>
      <c r="B2" s="3"/>
      <c r="C2" s="3"/>
      <c r="D2" s="3"/>
      <c r="G2" s="2" t="s">
        <v>65</v>
      </c>
      <c r="H2" s="2"/>
      <c r="I2" s="2"/>
      <c r="J2" s="2"/>
    </row>
    <row r="3" spans="1:10" ht="36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</row>
    <row r="4" spans="1:10" ht="36">
      <c r="A4" s="6"/>
      <c r="B4" s="6"/>
      <c r="C4" s="6"/>
      <c r="D4" s="6"/>
      <c r="E4" s="6"/>
      <c r="F4" s="6"/>
      <c r="G4" s="6"/>
      <c r="H4" s="6"/>
    </row>
    <row r="5" spans="1:10" ht="18.75">
      <c r="A5" s="8" t="s">
        <v>36</v>
      </c>
      <c r="B5" s="8"/>
      <c r="C5" s="8"/>
      <c r="D5" s="8"/>
      <c r="E5" s="8"/>
      <c r="F5" s="8"/>
      <c r="G5" s="8"/>
      <c r="H5" s="8"/>
    </row>
    <row r="6" spans="1:10">
      <c r="A6" s="2" t="s">
        <v>37</v>
      </c>
      <c r="B6" s="2"/>
      <c r="C6" s="2"/>
      <c r="D6" s="2"/>
      <c r="E6" s="2"/>
      <c r="F6" s="2"/>
      <c r="G6" s="2"/>
      <c r="H6" s="2"/>
    </row>
    <row r="7" spans="1:10">
      <c r="A7" s="2" t="s">
        <v>38</v>
      </c>
      <c r="B7" s="2"/>
      <c r="C7" s="2"/>
      <c r="D7" s="2"/>
      <c r="E7" s="2"/>
      <c r="F7" s="2"/>
      <c r="G7" s="2"/>
      <c r="H7" s="2"/>
    </row>
    <row r="8" spans="1:10">
      <c r="A8" s="2" t="s">
        <v>39</v>
      </c>
      <c r="B8" s="2"/>
      <c r="C8" s="2"/>
      <c r="D8" s="2"/>
      <c r="E8" s="2"/>
      <c r="F8" s="2"/>
      <c r="G8" s="2"/>
      <c r="H8" s="2"/>
    </row>
    <row r="9" spans="1:10" ht="15.75" thickBot="1"/>
    <row r="10" spans="1:10">
      <c r="A10" s="9" t="s">
        <v>8</v>
      </c>
      <c r="B10" s="11"/>
      <c r="C10" s="11"/>
      <c r="D10" s="11"/>
      <c r="E10" s="11"/>
      <c r="F10" s="11"/>
      <c r="G10" s="11"/>
      <c r="H10" s="12"/>
      <c r="I10" s="13">
        <v>45763</v>
      </c>
      <c r="J10" s="14"/>
    </row>
    <row r="11" spans="1:10" ht="15.75">
      <c r="A11" s="15" t="s">
        <v>128</v>
      </c>
      <c r="I11" s="221" t="s">
        <v>10</v>
      </c>
      <c r="J11" s="222"/>
    </row>
    <row r="12" spans="1:10" ht="16.5" thickBot="1">
      <c r="A12" s="15" t="s">
        <v>129</v>
      </c>
      <c r="B12" s="29"/>
      <c r="C12" s="29"/>
      <c r="D12" s="29"/>
      <c r="I12" s="22" t="s">
        <v>130</v>
      </c>
      <c r="J12" s="17"/>
    </row>
    <row r="13" spans="1:10" ht="15.75">
      <c r="A13" s="15" t="s">
        <v>131</v>
      </c>
      <c r="B13" s="29"/>
      <c r="C13" s="29"/>
      <c r="D13" s="29"/>
      <c r="I13" s="24"/>
      <c r="J13" s="25"/>
    </row>
    <row r="14" spans="1:10" ht="15.75">
      <c r="A14" s="15" t="s">
        <v>132</v>
      </c>
      <c r="B14" s="29"/>
      <c r="C14" s="29"/>
      <c r="D14" s="29"/>
      <c r="I14" s="24"/>
      <c r="J14" s="25"/>
    </row>
    <row r="15" spans="1:10" ht="16.5" thickBot="1">
      <c r="A15" s="137" t="s">
        <v>133</v>
      </c>
      <c r="B15" s="28"/>
      <c r="C15" s="28"/>
      <c r="D15" s="28"/>
      <c r="E15" s="28"/>
      <c r="I15" s="29"/>
      <c r="J15" s="30"/>
    </row>
    <row r="16" spans="1:10" ht="15.75" thickBot="1">
      <c r="A16" s="176" t="s">
        <v>71</v>
      </c>
      <c r="B16" s="177"/>
      <c r="C16" s="177"/>
      <c r="D16" s="34"/>
      <c r="E16" s="34"/>
      <c r="F16" s="34"/>
      <c r="G16" s="34"/>
      <c r="H16" s="34"/>
      <c r="I16" s="34"/>
      <c r="J16" s="35"/>
    </row>
    <row r="17" spans="1:10" ht="15.75" thickBot="1">
      <c r="A17" s="109" t="s">
        <v>17</v>
      </c>
      <c r="B17" s="109" t="s">
        <v>18</v>
      </c>
      <c r="C17" s="146"/>
      <c r="D17" s="146"/>
      <c r="E17" s="141"/>
      <c r="F17" s="81"/>
      <c r="G17" s="81"/>
      <c r="H17" s="40"/>
      <c r="I17" s="40"/>
      <c r="J17" s="41"/>
    </row>
    <row r="18" spans="1:10" ht="15.75" thickBot="1">
      <c r="A18" s="142"/>
      <c r="B18" s="203" t="s">
        <v>134</v>
      </c>
      <c r="C18" s="204"/>
      <c r="D18" s="204"/>
      <c r="E18" s="204"/>
      <c r="F18" s="113" t="s">
        <v>73</v>
      </c>
      <c r="G18" s="141"/>
      <c r="H18" s="113" t="s">
        <v>74</v>
      </c>
      <c r="I18" s="141"/>
      <c r="J18" s="147" t="s">
        <v>75</v>
      </c>
    </row>
    <row r="19" spans="1:10" ht="15.75" thickBot="1">
      <c r="A19" s="148"/>
      <c r="B19" s="223" t="s">
        <v>76</v>
      </c>
      <c r="C19" s="224"/>
      <c r="D19" s="224"/>
      <c r="E19" s="151"/>
      <c r="F19" s="180" t="s">
        <v>77</v>
      </c>
      <c r="G19" s="179" t="s">
        <v>78</v>
      </c>
      <c r="H19" s="180" t="s">
        <v>77</v>
      </c>
      <c r="I19" s="179" t="s">
        <v>78</v>
      </c>
      <c r="J19" s="114" t="s">
        <v>79</v>
      </c>
    </row>
    <row r="20" spans="1:10">
      <c r="A20" s="148"/>
      <c r="B20" s="208" t="s">
        <v>135</v>
      </c>
      <c r="C20" s="209"/>
      <c r="D20" s="224"/>
      <c r="E20" s="151"/>
      <c r="F20" s="186">
        <v>1</v>
      </c>
      <c r="G20" s="170">
        <v>0</v>
      </c>
      <c r="H20" s="182">
        <v>11000</v>
      </c>
      <c r="I20" s="62">
        <v>0</v>
      </c>
      <c r="J20" s="62">
        <f>I20*G20+H20*F20</f>
        <v>11000</v>
      </c>
    </row>
    <row r="21" spans="1:10">
      <c r="A21" s="148"/>
      <c r="B21" s="208" t="s">
        <v>136</v>
      </c>
      <c r="C21" s="209"/>
      <c r="D21" s="224"/>
      <c r="E21" s="151"/>
      <c r="F21" s="186"/>
      <c r="G21" s="170"/>
      <c r="H21" s="182"/>
      <c r="I21" s="62"/>
      <c r="J21" s="62"/>
    </row>
    <row r="22" spans="1:10">
      <c r="A22" s="148"/>
      <c r="B22" s="208" t="s">
        <v>137</v>
      </c>
      <c r="C22" s="209"/>
      <c r="D22" s="224"/>
      <c r="E22" s="151"/>
      <c r="F22" s="186"/>
      <c r="G22" s="170"/>
      <c r="H22" s="182"/>
      <c r="I22" s="62"/>
      <c r="J22" s="62"/>
    </row>
    <row r="23" spans="1:10">
      <c r="A23" s="148"/>
      <c r="B23" s="216"/>
      <c r="C23" s="217"/>
      <c r="D23" s="217"/>
      <c r="E23" s="184"/>
      <c r="F23" s="186"/>
      <c r="G23" s="170"/>
      <c r="H23" s="182"/>
      <c r="I23" s="62"/>
      <c r="J23" s="62"/>
    </row>
    <row r="24" spans="1:10">
      <c r="A24" s="148"/>
      <c r="B24" s="216"/>
      <c r="C24" s="217"/>
      <c r="D24" s="217"/>
      <c r="E24" s="184"/>
      <c r="F24" s="186"/>
      <c r="G24" s="170"/>
      <c r="H24" s="182"/>
      <c r="I24" s="62"/>
      <c r="J24" s="62"/>
    </row>
    <row r="25" spans="1:10">
      <c r="A25" s="148"/>
      <c r="B25" s="208"/>
      <c r="C25" s="209"/>
      <c r="D25" s="224"/>
      <c r="E25" s="224"/>
      <c r="F25" s="186"/>
      <c r="G25" s="170"/>
      <c r="H25" s="182"/>
      <c r="I25" s="62"/>
      <c r="J25" s="62"/>
    </row>
    <row r="26" spans="1:10">
      <c r="A26" s="148"/>
      <c r="B26" s="216"/>
      <c r="C26" s="217"/>
      <c r="D26" s="217"/>
      <c r="E26" s="217"/>
      <c r="F26" s="186"/>
      <c r="G26" s="170"/>
      <c r="H26" s="182"/>
      <c r="I26" s="62"/>
      <c r="J26" s="62"/>
    </row>
    <row r="27" spans="1:10">
      <c r="A27" s="148"/>
      <c r="B27" s="216"/>
      <c r="C27" s="217"/>
      <c r="D27" s="217"/>
      <c r="E27" s="217"/>
      <c r="F27" s="186"/>
      <c r="G27" s="170"/>
      <c r="H27" s="182"/>
      <c r="I27" s="62"/>
      <c r="J27" s="62"/>
    </row>
    <row r="28" spans="1:10">
      <c r="A28" s="148"/>
      <c r="B28" s="148" t="s">
        <v>138</v>
      </c>
      <c r="C28" s="29"/>
      <c r="D28" s="217"/>
      <c r="E28" s="217"/>
      <c r="F28" s="186"/>
      <c r="G28" s="170"/>
      <c r="H28" s="182"/>
      <c r="I28" s="62"/>
      <c r="J28" s="62"/>
    </row>
    <row r="29" spans="1:10">
      <c r="A29" s="148">
        <v>1</v>
      </c>
      <c r="B29" s="56" t="s">
        <v>139</v>
      </c>
      <c r="C29" s="29"/>
      <c r="D29" s="217"/>
      <c r="E29" s="217"/>
      <c r="F29" s="186"/>
      <c r="G29" s="170"/>
      <c r="H29" s="182"/>
      <c r="I29" s="62"/>
      <c r="J29" s="62"/>
    </row>
    <row r="30" spans="1:10">
      <c r="A30" s="148"/>
      <c r="B30" s="56" t="s">
        <v>140</v>
      </c>
      <c r="C30" s="29"/>
      <c r="D30" s="217"/>
      <c r="E30" s="217"/>
      <c r="F30" s="186"/>
      <c r="G30" s="170"/>
      <c r="H30" s="182"/>
      <c r="I30" s="62"/>
      <c r="J30" s="62"/>
    </row>
    <row r="31" spans="1:10">
      <c r="A31" s="148"/>
      <c r="B31" s="56"/>
      <c r="C31" s="29"/>
      <c r="D31" s="217"/>
      <c r="E31" s="217"/>
      <c r="F31" s="186"/>
      <c r="G31" s="170"/>
      <c r="H31" s="182"/>
      <c r="I31" s="62"/>
      <c r="J31" s="62"/>
    </row>
    <row r="32" spans="1:10">
      <c r="A32" s="148"/>
      <c r="B32" s="56"/>
      <c r="C32" s="29"/>
      <c r="D32" s="29"/>
      <c r="E32" s="29"/>
      <c r="F32" s="186"/>
      <c r="G32" s="170"/>
      <c r="H32" s="182"/>
      <c r="I32" s="62"/>
      <c r="J32" s="62"/>
    </row>
    <row r="33" spans="1:10" ht="15.75" thickBot="1">
      <c r="A33" s="36"/>
      <c r="B33" s="218"/>
      <c r="C33" s="77"/>
      <c r="D33" s="77"/>
      <c r="E33" s="77"/>
      <c r="F33" s="225"/>
      <c r="G33" s="53"/>
      <c r="H33" s="191"/>
      <c r="I33" s="79"/>
      <c r="J33" s="79"/>
    </row>
    <row r="34" spans="1:10" ht="15.75" thickBot="1">
      <c r="A34" s="29"/>
      <c r="B34" s="29"/>
      <c r="C34" s="29"/>
      <c r="D34" s="29"/>
      <c r="E34" s="29"/>
      <c r="F34" s="29"/>
      <c r="G34" s="29"/>
      <c r="H34" s="170"/>
      <c r="I34" s="170"/>
      <c r="J34" s="170"/>
    </row>
    <row r="35" spans="1:10">
      <c r="A35" s="171" t="s">
        <v>141</v>
      </c>
      <c r="B35" s="11"/>
      <c r="C35" s="11"/>
      <c r="D35" s="11"/>
      <c r="E35" s="11"/>
      <c r="F35" s="172"/>
      <c r="G35" s="172"/>
      <c r="H35" s="172"/>
      <c r="I35" s="172"/>
      <c r="J35" s="147">
        <f>SUM(J20:J34)</f>
        <v>11000</v>
      </c>
    </row>
    <row r="36" spans="1:10" ht="15.75" thickBot="1">
      <c r="A36" s="75"/>
      <c r="B36" s="77"/>
      <c r="C36" s="77"/>
      <c r="D36" s="77"/>
      <c r="E36" s="77"/>
      <c r="F36" s="131"/>
      <c r="G36" s="131"/>
      <c r="H36" s="131"/>
      <c r="I36" s="53"/>
      <c r="J36" s="79"/>
    </row>
    <row r="37" spans="1:10">
      <c r="A37" t="s">
        <v>25</v>
      </c>
      <c r="B37" s="29"/>
      <c r="C37" s="29"/>
      <c r="D37" s="29"/>
      <c r="E37" s="29"/>
      <c r="H37" s="24"/>
      <c r="I37" s="24"/>
      <c r="J37" s="24"/>
    </row>
    <row r="38" spans="1:10">
      <c r="A38" t="s">
        <v>26</v>
      </c>
      <c r="D38" s="88"/>
      <c r="E38" s="29"/>
      <c r="H38" s="24"/>
      <c r="I38" s="24"/>
      <c r="J38" s="24"/>
    </row>
    <row r="39" spans="1:10">
      <c r="A39" t="s">
        <v>27</v>
      </c>
      <c r="G39" s="29"/>
      <c r="H39" s="87"/>
      <c r="I39" s="88"/>
      <c r="J39" s="89" t="s">
        <v>28</v>
      </c>
    </row>
    <row r="40" spans="1:10">
      <c r="A40" t="s">
        <v>29</v>
      </c>
      <c r="E40" s="88"/>
      <c r="F40" s="88"/>
    </row>
    <row r="41" spans="1:10">
      <c r="A41" t="s">
        <v>30</v>
      </c>
      <c r="D41" s="88"/>
      <c r="E41" s="88"/>
      <c r="F41" s="88"/>
    </row>
    <row r="42" spans="1:10">
      <c r="A42" t="s">
        <v>31</v>
      </c>
      <c r="H42" s="88"/>
      <c r="I42" s="88"/>
      <c r="J42" s="89" t="s">
        <v>32</v>
      </c>
    </row>
  </sheetData>
  <mergeCells count="12">
    <mergeCell ref="A7:H7"/>
    <mergeCell ref="A8:H8"/>
    <mergeCell ref="I10:J10"/>
    <mergeCell ref="I11:J11"/>
    <mergeCell ref="I12:J12"/>
    <mergeCell ref="A16:C16"/>
    <mergeCell ref="A1:D1"/>
    <mergeCell ref="G1:J1"/>
    <mergeCell ref="G2:J2"/>
    <mergeCell ref="A3:J3"/>
    <mergeCell ref="A5:H5"/>
    <mergeCell ref="A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>
      <selection activeCell="K24" sqref="K24"/>
    </sheetView>
  </sheetViews>
  <sheetFormatPr defaultColWidth="9" defaultRowHeight="15"/>
  <cols>
    <col min="1" max="1" width="7.42578125" customWidth="1"/>
    <col min="5" max="5" width="32.28515625" customWidth="1"/>
    <col min="9" max="9" width="16.140625" customWidth="1"/>
  </cols>
  <sheetData>
    <row r="1" spans="1:10">
      <c r="A1" s="1" t="s">
        <v>0</v>
      </c>
      <c r="B1" s="1"/>
      <c r="C1" s="1"/>
      <c r="D1" s="1"/>
      <c r="G1" s="2" t="s">
        <v>64</v>
      </c>
      <c r="H1" s="2"/>
      <c r="I1" s="2"/>
      <c r="J1" s="2"/>
    </row>
    <row r="2" spans="1:10">
      <c r="A2" s="3"/>
      <c r="B2" s="3"/>
      <c r="C2" s="3"/>
      <c r="D2" s="3"/>
      <c r="G2" s="2" t="s">
        <v>65</v>
      </c>
      <c r="H2" s="2"/>
      <c r="I2" s="2"/>
      <c r="J2" s="2"/>
    </row>
    <row r="3" spans="1:10" ht="36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</row>
    <row r="4" spans="1:10" ht="36">
      <c r="A4" s="6"/>
      <c r="B4" s="6"/>
      <c r="C4" s="6"/>
      <c r="D4" s="6"/>
      <c r="E4" s="6"/>
      <c r="F4" s="6"/>
      <c r="G4" s="6"/>
      <c r="H4" s="6"/>
    </row>
    <row r="5" spans="1:10" ht="18.75">
      <c r="A5" s="8" t="s">
        <v>36</v>
      </c>
      <c r="B5" s="8"/>
      <c r="C5" s="8"/>
      <c r="D5" s="8"/>
      <c r="E5" s="8"/>
      <c r="F5" s="8"/>
      <c r="G5" s="8"/>
      <c r="H5" s="8"/>
    </row>
    <row r="6" spans="1:10">
      <c r="A6" s="2" t="s">
        <v>37</v>
      </c>
      <c r="B6" s="2"/>
      <c r="C6" s="2"/>
      <c r="D6" s="2"/>
      <c r="E6" s="2"/>
      <c r="F6" s="2"/>
      <c r="G6" s="2"/>
      <c r="H6" s="2"/>
    </row>
    <row r="7" spans="1:10">
      <c r="A7" s="2" t="s">
        <v>38</v>
      </c>
      <c r="B7" s="2"/>
      <c r="C7" s="2"/>
      <c r="D7" s="2"/>
      <c r="E7" s="2"/>
      <c r="F7" s="2"/>
      <c r="G7" s="2"/>
      <c r="H7" s="2"/>
    </row>
    <row r="8" spans="1:10">
      <c r="A8" s="2" t="s">
        <v>39</v>
      </c>
      <c r="B8" s="2"/>
      <c r="C8" s="2"/>
      <c r="D8" s="2"/>
      <c r="E8" s="2"/>
      <c r="F8" s="2"/>
      <c r="G8" s="2"/>
      <c r="H8" s="2"/>
    </row>
    <row r="10" spans="1:10">
      <c r="A10" s="9" t="s">
        <v>8</v>
      </c>
      <c r="B10" s="11"/>
      <c r="C10" s="11"/>
      <c r="D10" s="11"/>
      <c r="E10" s="11"/>
      <c r="F10" s="11"/>
      <c r="G10" s="11"/>
      <c r="H10" s="12"/>
      <c r="I10" s="173"/>
      <c r="J10" s="14"/>
    </row>
    <row r="11" spans="1:10" ht="15.75">
      <c r="A11" s="15" t="s">
        <v>142</v>
      </c>
      <c r="I11" s="221">
        <v>45766</v>
      </c>
      <c r="J11" s="222"/>
    </row>
    <row r="12" spans="1:10" ht="16.5" thickBot="1">
      <c r="A12" s="15" t="s">
        <v>143</v>
      </c>
      <c r="B12" s="29"/>
      <c r="C12" s="29"/>
      <c r="D12" s="29"/>
      <c r="I12" s="22" t="s">
        <v>144</v>
      </c>
      <c r="J12" s="17"/>
    </row>
    <row r="13" spans="1:10" ht="15.75">
      <c r="A13" s="15" t="s">
        <v>145</v>
      </c>
      <c r="B13" s="29"/>
      <c r="C13" s="29"/>
      <c r="D13" s="29"/>
      <c r="I13" s="24"/>
      <c r="J13" s="25"/>
    </row>
    <row r="14" spans="1:10" ht="16.5" thickBot="1">
      <c r="A14" s="15" t="s">
        <v>146</v>
      </c>
      <c r="B14" s="29"/>
      <c r="C14" s="29"/>
      <c r="D14" s="29"/>
      <c r="I14" s="24"/>
      <c r="J14" s="25"/>
    </row>
    <row r="15" spans="1:10" ht="15.75" thickBot="1">
      <c r="A15" s="176" t="s">
        <v>71</v>
      </c>
      <c r="B15" s="177"/>
      <c r="C15" s="177"/>
      <c r="D15" s="34"/>
      <c r="E15" s="34"/>
      <c r="F15" s="34"/>
      <c r="G15" s="34"/>
      <c r="H15" s="34"/>
      <c r="I15" s="34"/>
      <c r="J15" s="35"/>
    </row>
    <row r="16" spans="1:10" ht="15.75" thickBot="1">
      <c r="A16" s="109" t="s">
        <v>17</v>
      </c>
      <c r="B16" s="109" t="s">
        <v>18</v>
      </c>
      <c r="C16" s="146"/>
      <c r="D16" s="146"/>
      <c r="E16" s="141"/>
      <c r="F16" s="81"/>
      <c r="G16" s="81"/>
      <c r="H16" s="40"/>
      <c r="I16" s="40"/>
      <c r="J16" s="41"/>
    </row>
    <row r="17" spans="1:10" ht="15.75" thickBot="1">
      <c r="A17" s="142"/>
      <c r="B17" s="203" t="s">
        <v>134</v>
      </c>
      <c r="C17" s="204"/>
      <c r="D17" s="204"/>
      <c r="E17" s="204"/>
      <c r="F17" s="113" t="s">
        <v>73</v>
      </c>
      <c r="G17" s="141"/>
      <c r="H17" s="113" t="s">
        <v>74</v>
      </c>
      <c r="I17" s="141"/>
      <c r="J17" s="147" t="s">
        <v>75</v>
      </c>
    </row>
    <row r="18" spans="1:10" ht="15.75" thickBot="1">
      <c r="A18" s="148"/>
      <c r="B18" s="223" t="s">
        <v>76</v>
      </c>
      <c r="C18" s="224"/>
      <c r="D18" s="224"/>
      <c r="E18" s="151"/>
      <c r="F18" s="180" t="s">
        <v>77</v>
      </c>
      <c r="G18" s="179" t="s">
        <v>78</v>
      </c>
      <c r="H18" s="180" t="s">
        <v>77</v>
      </c>
      <c r="I18" s="179" t="s">
        <v>78</v>
      </c>
      <c r="J18" s="114" t="s">
        <v>79</v>
      </c>
    </row>
    <row r="19" spans="1:10">
      <c r="A19" s="148"/>
      <c r="B19" s="208" t="s">
        <v>147</v>
      </c>
      <c r="C19" s="209"/>
      <c r="D19" s="224"/>
      <c r="E19" s="151"/>
      <c r="F19" s="186">
        <v>0</v>
      </c>
      <c r="G19" s="170">
        <v>1</v>
      </c>
      <c r="H19" s="182">
        <v>0</v>
      </c>
      <c r="I19" s="62">
        <v>25500</v>
      </c>
      <c r="J19" s="62">
        <f>I19*G19+H19*F19</f>
        <v>25500</v>
      </c>
    </row>
    <row r="20" spans="1:10">
      <c r="A20" s="148"/>
      <c r="B20" s="208" t="s">
        <v>148</v>
      </c>
      <c r="C20" s="209"/>
      <c r="D20" s="224"/>
      <c r="E20" s="151"/>
      <c r="F20" s="186"/>
      <c r="G20" s="170"/>
      <c r="H20" s="182"/>
      <c r="I20" s="62"/>
      <c r="J20" s="62"/>
    </row>
    <row r="21" spans="1:10">
      <c r="A21" s="148"/>
      <c r="B21" s="212" t="s">
        <v>149</v>
      </c>
      <c r="C21" s="209"/>
      <c r="D21" s="224"/>
      <c r="E21" s="151"/>
      <c r="F21" s="186"/>
      <c r="G21" s="170"/>
      <c r="H21" s="182"/>
      <c r="I21" s="62"/>
      <c r="J21" s="62"/>
    </row>
    <row r="22" spans="1:10">
      <c r="A22" s="148"/>
      <c r="B22" s="216"/>
      <c r="C22" s="217"/>
      <c r="D22" s="217"/>
      <c r="E22" s="184"/>
      <c r="F22" s="186"/>
      <c r="G22" s="170"/>
      <c r="H22" s="182"/>
      <c r="I22" s="62"/>
      <c r="J22" s="62"/>
    </row>
    <row r="23" spans="1:10">
      <c r="A23" s="148"/>
      <c r="B23" s="216"/>
      <c r="C23" s="217"/>
      <c r="D23" s="217"/>
      <c r="E23" s="161"/>
      <c r="F23" s="186"/>
      <c r="G23" s="170"/>
      <c r="H23" s="182"/>
      <c r="I23" s="62"/>
      <c r="J23" s="62"/>
    </row>
    <row r="24" spans="1:10">
      <c r="A24" s="148"/>
      <c r="B24" s="208" t="s">
        <v>150</v>
      </c>
      <c r="C24" s="209"/>
      <c r="D24" s="224"/>
      <c r="E24" s="224"/>
      <c r="F24" s="186"/>
      <c r="G24" s="170"/>
      <c r="H24" s="182"/>
      <c r="I24" s="62"/>
      <c r="J24" s="62">
        <v>20000</v>
      </c>
    </row>
    <row r="25" spans="1:10">
      <c r="A25" s="148"/>
      <c r="B25" s="216"/>
      <c r="C25" s="217"/>
      <c r="D25" s="217"/>
      <c r="E25" s="217"/>
      <c r="F25" s="186"/>
      <c r="G25" s="170"/>
      <c r="H25" s="182"/>
      <c r="I25" s="62"/>
      <c r="J25" s="62"/>
    </row>
    <row r="26" spans="1:10">
      <c r="A26" s="148"/>
      <c r="B26" s="216"/>
      <c r="C26" s="217"/>
      <c r="D26" s="217"/>
      <c r="E26" s="217"/>
      <c r="F26" s="186"/>
      <c r="G26" s="170"/>
      <c r="H26" s="182"/>
      <c r="I26" s="62"/>
      <c r="J26" s="62"/>
    </row>
    <row r="27" spans="1:10">
      <c r="A27" s="148"/>
      <c r="B27" s="148" t="s">
        <v>151</v>
      </c>
      <c r="C27" s="29"/>
      <c r="D27" s="217"/>
      <c r="E27" s="217"/>
      <c r="F27" s="186"/>
      <c r="G27" s="170"/>
      <c r="H27" s="182"/>
      <c r="I27" s="62"/>
      <c r="J27" s="62"/>
    </row>
    <row r="28" spans="1:10">
      <c r="A28" s="148">
        <v>1</v>
      </c>
      <c r="B28" s="56" t="s">
        <v>152</v>
      </c>
      <c r="C28" s="29"/>
      <c r="D28" s="217"/>
      <c r="E28" s="217"/>
      <c r="F28" s="186"/>
      <c r="G28" s="170"/>
      <c r="H28" s="182"/>
      <c r="I28" s="62"/>
      <c r="J28" s="62"/>
    </row>
    <row r="29" spans="1:10">
      <c r="A29" s="148"/>
      <c r="B29" s="56" t="s">
        <v>153</v>
      </c>
      <c r="C29" s="29"/>
      <c r="D29" s="29"/>
      <c r="E29" s="29"/>
      <c r="F29" s="186"/>
      <c r="G29" s="170"/>
      <c r="H29" s="182"/>
      <c r="I29" s="62"/>
      <c r="J29" s="62"/>
    </row>
    <row r="30" spans="1:10" ht="15.75" thickBot="1">
      <c r="A30" s="36"/>
      <c r="B30" s="218"/>
      <c r="C30" s="77"/>
      <c r="D30" s="77"/>
      <c r="E30" s="77"/>
      <c r="F30" s="225"/>
      <c r="G30" s="53"/>
      <c r="H30" s="191"/>
      <c r="I30" s="79"/>
      <c r="J30" s="79"/>
    </row>
    <row r="31" spans="1:10" ht="15.75" thickBot="1">
      <c r="A31" s="29"/>
      <c r="B31" s="29"/>
      <c r="C31" s="29"/>
      <c r="D31" s="29"/>
      <c r="E31" s="29"/>
      <c r="F31" s="29"/>
      <c r="G31" s="29"/>
      <c r="H31" s="170"/>
      <c r="I31" s="170"/>
      <c r="J31" s="170"/>
    </row>
    <row r="32" spans="1:10">
      <c r="A32" s="171" t="s">
        <v>154</v>
      </c>
      <c r="B32" s="11"/>
      <c r="C32" s="11"/>
      <c r="D32" s="11"/>
      <c r="E32" s="11"/>
      <c r="F32" s="172"/>
      <c r="G32" s="172"/>
      <c r="H32" s="172"/>
      <c r="I32" s="172"/>
      <c r="J32" s="147">
        <f>J19-J24</f>
        <v>5500</v>
      </c>
    </row>
    <row r="33" spans="1:10" ht="15.75" thickBot="1">
      <c r="A33" s="75"/>
      <c r="B33" s="77"/>
      <c r="C33" s="77"/>
      <c r="D33" s="77"/>
      <c r="E33" s="77"/>
      <c r="F33" s="131"/>
      <c r="G33" s="131"/>
      <c r="H33" s="131"/>
      <c r="I33" s="53"/>
      <c r="J33" s="79"/>
    </row>
    <row r="34" spans="1:10">
      <c r="A34" t="s">
        <v>25</v>
      </c>
      <c r="B34" s="29"/>
      <c r="C34" s="29"/>
      <c r="D34" s="29"/>
      <c r="E34" s="29"/>
      <c r="H34" s="24"/>
      <c r="I34" s="24"/>
      <c r="J34" s="24"/>
    </row>
    <row r="35" spans="1:10">
      <c r="A35" t="s">
        <v>26</v>
      </c>
      <c r="D35" s="88"/>
      <c r="E35" s="29"/>
      <c r="H35" s="24"/>
      <c r="I35" s="24"/>
      <c r="J35" s="24"/>
    </row>
    <row r="36" spans="1:10">
      <c r="A36" t="s">
        <v>27</v>
      </c>
      <c r="G36" s="29"/>
      <c r="H36" s="87"/>
      <c r="I36" s="88"/>
      <c r="J36" s="89" t="s">
        <v>28</v>
      </c>
    </row>
    <row r="37" spans="1:10">
      <c r="A37" t="s">
        <v>29</v>
      </c>
      <c r="E37" s="88"/>
      <c r="F37" s="88"/>
    </row>
    <row r="38" spans="1:10">
      <c r="A38" t="s">
        <v>30</v>
      </c>
      <c r="D38" s="88"/>
      <c r="E38" s="88"/>
      <c r="F38" s="88"/>
    </row>
    <row r="39" spans="1:10">
      <c r="A39" t="s">
        <v>31</v>
      </c>
      <c r="H39" s="88"/>
      <c r="I39" s="88"/>
      <c r="J39" s="89" t="s">
        <v>32</v>
      </c>
    </row>
  </sheetData>
  <mergeCells count="12">
    <mergeCell ref="A7:H7"/>
    <mergeCell ref="A8:H8"/>
    <mergeCell ref="I10:J10"/>
    <mergeCell ref="I11:J11"/>
    <mergeCell ref="I12:J12"/>
    <mergeCell ref="A15:C15"/>
    <mergeCell ref="A1:D1"/>
    <mergeCell ref="G1:J1"/>
    <mergeCell ref="G2:J2"/>
    <mergeCell ref="A3:J3"/>
    <mergeCell ref="A5:H5"/>
    <mergeCell ref="A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TIMESCAN</vt:lpstr>
      <vt:lpstr>MSK PNR</vt:lpstr>
      <vt:lpstr>MR LOGISTICS</vt:lpstr>
      <vt:lpstr>SKAS</vt:lpstr>
      <vt:lpstr>MILKY WAY</vt:lpstr>
      <vt:lpstr>AVB</vt:lpstr>
      <vt:lpstr>SAFE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2025-08-04T05:13:22Z</dcterms:modified>
</cp:coreProperties>
</file>